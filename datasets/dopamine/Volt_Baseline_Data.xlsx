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yssa\Projects\Dopamine Neuroanatomy\Submission\Data Repository\updated\"/>
    </mc:Choice>
  </mc:AlternateContent>
  <xr:revisionPtr revIDLastSave="0" documentId="13_ncr:1_{5A302496-5DC5-49A1-8963-A228AAB82ABE}" xr6:coauthVersionLast="47" xr6:coauthVersionMax="47" xr10:uidLastSave="{00000000-0000-0000-0000-000000000000}"/>
  <bookViews>
    <workbookView xWindow="5640" yWindow="3240" windowWidth="21600" windowHeight="11385" xr2:uid="{681E0FC0-61EE-4479-9F24-EEE87804C000}"/>
  </bookViews>
  <sheets>
    <sheet name="mice" sheetId="1" r:id="rId1"/>
    <sheet name="rats" sheetId="2" r:id="rId2"/>
    <sheet name="mice ratios" sheetId="3" r:id="rId3"/>
    <sheet name="rat ratios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7" i="4" l="1"/>
  <c r="Y47" i="4" s="1"/>
  <c r="AD49" i="4"/>
  <c r="AE49" i="4" s="1"/>
  <c r="X49" i="4"/>
  <c r="Y49" i="4" s="1"/>
  <c r="R49" i="4"/>
  <c r="S49" i="4" s="1"/>
  <c r="F49" i="4"/>
  <c r="G49" i="4" s="1"/>
  <c r="AD48" i="4"/>
  <c r="AE48" i="4" s="1"/>
  <c r="X48" i="4"/>
  <c r="Y48" i="4" s="1"/>
  <c r="R48" i="4"/>
  <c r="S48" i="4" s="1"/>
  <c r="L48" i="4"/>
  <c r="M48" i="4" s="1"/>
  <c r="F48" i="4"/>
  <c r="G48" i="4" s="1"/>
  <c r="AD47" i="4"/>
  <c r="AE47" i="4" s="1"/>
  <c r="R47" i="4"/>
  <c r="S47" i="4" s="1"/>
  <c r="L47" i="4"/>
  <c r="M47" i="4" s="1"/>
  <c r="AD46" i="4"/>
  <c r="AE46" i="4" s="1"/>
  <c r="R46" i="4"/>
  <c r="S46" i="4" s="1"/>
  <c r="L46" i="4"/>
  <c r="M46" i="4" s="1"/>
  <c r="F46" i="4"/>
  <c r="G46" i="4" s="1"/>
  <c r="AD44" i="4"/>
  <c r="AE44" i="4" s="1"/>
  <c r="X44" i="4"/>
  <c r="Y44" i="4" s="1"/>
  <c r="R44" i="4"/>
  <c r="S44" i="4" s="1"/>
  <c r="L44" i="4"/>
  <c r="M44" i="4" s="1"/>
  <c r="F44" i="4"/>
  <c r="G44" i="4" s="1"/>
  <c r="AD43" i="4"/>
  <c r="AE43" i="4" s="1"/>
  <c r="X43" i="4"/>
  <c r="Y43" i="4" s="1"/>
  <c r="R43" i="4"/>
  <c r="S43" i="4" s="1"/>
  <c r="L43" i="4"/>
  <c r="M43" i="4" s="1"/>
  <c r="F43" i="4"/>
  <c r="G43" i="4" s="1"/>
  <c r="X41" i="4"/>
  <c r="Y41" i="4" s="1"/>
  <c r="R41" i="4"/>
  <c r="S41" i="4" s="1"/>
  <c r="F41" i="4"/>
  <c r="G41" i="4" s="1"/>
  <c r="X40" i="4"/>
  <c r="Y40" i="4" s="1"/>
  <c r="R40" i="4"/>
  <c r="S40" i="4" s="1"/>
  <c r="L40" i="4"/>
  <c r="M40" i="4" s="1"/>
  <c r="F40" i="4"/>
  <c r="G40" i="4" s="1"/>
  <c r="AD39" i="4"/>
  <c r="AE39" i="4" s="1"/>
  <c r="X39" i="4"/>
  <c r="Y39" i="4" s="1"/>
  <c r="R39" i="4"/>
  <c r="S39" i="4" s="1"/>
  <c r="L39" i="4"/>
  <c r="M39" i="4" s="1"/>
  <c r="AD38" i="4"/>
  <c r="AE38" i="4" s="1"/>
  <c r="X38" i="4"/>
  <c r="Y38" i="4" s="1"/>
  <c r="R38" i="4"/>
  <c r="S38" i="4" s="1"/>
  <c r="L38" i="4"/>
  <c r="M38" i="4" s="1"/>
  <c r="F38" i="4"/>
  <c r="G38" i="4" s="1"/>
  <c r="AD37" i="4"/>
  <c r="AE37" i="4" s="1"/>
  <c r="X37" i="4"/>
  <c r="Y37" i="4" s="1"/>
  <c r="R37" i="4"/>
  <c r="S37" i="4" s="1"/>
  <c r="L37" i="4"/>
  <c r="M37" i="4" s="1"/>
  <c r="F37" i="4"/>
  <c r="G37" i="4" s="1"/>
  <c r="X36" i="4"/>
  <c r="Y36" i="4" s="1"/>
  <c r="R36" i="4"/>
  <c r="S36" i="4" s="1"/>
  <c r="L36" i="4"/>
  <c r="M36" i="4" s="1"/>
  <c r="AD35" i="4"/>
  <c r="AE35" i="4" s="1"/>
  <c r="X35" i="4"/>
  <c r="Y35" i="4" s="1"/>
  <c r="R35" i="4"/>
  <c r="S35" i="4" s="1"/>
  <c r="L35" i="4"/>
  <c r="M35" i="4" s="1"/>
  <c r="F35" i="4"/>
  <c r="G35" i="4" s="1"/>
  <c r="AD34" i="4"/>
  <c r="AE34" i="4" s="1"/>
  <c r="X34" i="4"/>
  <c r="Y34" i="4" s="1"/>
  <c r="R34" i="4"/>
  <c r="S34" i="4" s="1"/>
  <c r="L34" i="4"/>
  <c r="M34" i="4" s="1"/>
  <c r="F34" i="4"/>
  <c r="G34" i="4" s="1"/>
  <c r="X33" i="4"/>
  <c r="Y33" i="4" s="1"/>
  <c r="L33" i="4"/>
  <c r="M33" i="4" s="1"/>
  <c r="AD32" i="4"/>
  <c r="AE32" i="4" s="1"/>
  <c r="R32" i="4"/>
  <c r="S32" i="4" s="1"/>
  <c r="L32" i="4"/>
  <c r="M32" i="4" s="1"/>
  <c r="F32" i="4"/>
  <c r="G32" i="4" s="1"/>
  <c r="AD31" i="4"/>
  <c r="AE31" i="4" s="1"/>
  <c r="X31" i="4"/>
  <c r="Y31" i="4" s="1"/>
  <c r="R31" i="4"/>
  <c r="S31" i="4" s="1"/>
  <c r="L31" i="4"/>
  <c r="M31" i="4" s="1"/>
  <c r="F31" i="4"/>
  <c r="G31" i="4" s="1"/>
  <c r="AD30" i="4"/>
  <c r="AE30" i="4" s="1"/>
  <c r="X30" i="4"/>
  <c r="Y30" i="4" s="1"/>
  <c r="L30" i="4"/>
  <c r="M30" i="4" s="1"/>
  <c r="F30" i="4"/>
  <c r="G30" i="4" s="1"/>
  <c r="AD29" i="4"/>
  <c r="AE29" i="4" s="1"/>
  <c r="X29" i="4"/>
  <c r="Y29" i="4" s="1"/>
  <c r="R29" i="4"/>
  <c r="S29" i="4" s="1"/>
  <c r="L29" i="4"/>
  <c r="M29" i="4" s="1"/>
  <c r="F29" i="4"/>
  <c r="G29" i="4" s="1"/>
  <c r="AD28" i="4"/>
  <c r="AE28" i="4" s="1"/>
  <c r="X28" i="4"/>
  <c r="Y28" i="4" s="1"/>
  <c r="R28" i="4"/>
  <c r="S28" i="4" s="1"/>
  <c r="L28" i="4"/>
  <c r="M28" i="4" s="1"/>
  <c r="F28" i="4"/>
  <c r="G28" i="4" s="1"/>
  <c r="X27" i="4"/>
  <c r="Y27" i="4" s="1"/>
  <c r="R27" i="4"/>
  <c r="S27" i="4" s="1"/>
  <c r="L27" i="4"/>
  <c r="M27" i="4" s="1"/>
  <c r="AD26" i="4"/>
  <c r="AE26" i="4" s="1"/>
  <c r="X26" i="4"/>
  <c r="Y26" i="4" s="1"/>
  <c r="R26" i="4"/>
  <c r="S26" i="4" s="1"/>
  <c r="L26" i="4"/>
  <c r="M26" i="4" s="1"/>
  <c r="F26" i="4"/>
  <c r="G26" i="4" s="1"/>
  <c r="AD25" i="4"/>
  <c r="AE25" i="4" s="1"/>
  <c r="X25" i="4"/>
  <c r="Y25" i="4" s="1"/>
  <c r="R25" i="4"/>
  <c r="S25" i="4" s="1"/>
  <c r="L25" i="4"/>
  <c r="M25" i="4" s="1"/>
  <c r="F25" i="4"/>
  <c r="G25" i="4" s="1"/>
  <c r="AD24" i="4"/>
  <c r="AE24" i="4" s="1"/>
  <c r="X24" i="4"/>
  <c r="Y24" i="4" s="1"/>
  <c r="R24" i="4"/>
  <c r="S24" i="4" s="1"/>
  <c r="L24" i="4"/>
  <c r="M24" i="4" s="1"/>
  <c r="F24" i="4"/>
  <c r="G24" i="4" s="1"/>
  <c r="AD23" i="4"/>
  <c r="AE23" i="4" s="1"/>
  <c r="X23" i="4"/>
  <c r="Y23" i="4" s="1"/>
  <c r="R23" i="4"/>
  <c r="S23" i="4" s="1"/>
  <c r="L23" i="4"/>
  <c r="M23" i="4" s="1"/>
  <c r="F23" i="4"/>
  <c r="G23" i="4" s="1"/>
  <c r="AD22" i="4"/>
  <c r="AE22" i="4" s="1"/>
  <c r="X22" i="4"/>
  <c r="Y22" i="4" s="1"/>
  <c r="R22" i="4"/>
  <c r="S22" i="4" s="1"/>
  <c r="L22" i="4"/>
  <c r="M22" i="4" s="1"/>
  <c r="AD21" i="4"/>
  <c r="AE21" i="4" s="1"/>
  <c r="X21" i="4"/>
  <c r="Y21" i="4" s="1"/>
  <c r="R21" i="4"/>
  <c r="S21" i="4" s="1"/>
  <c r="L21" i="4"/>
  <c r="M21" i="4" s="1"/>
  <c r="F21" i="4"/>
  <c r="G21" i="4" s="1"/>
  <c r="AD20" i="4"/>
  <c r="AE20" i="4" s="1"/>
  <c r="X20" i="4"/>
  <c r="Y20" i="4" s="1"/>
  <c r="R20" i="4"/>
  <c r="S20" i="4" s="1"/>
  <c r="L20" i="4"/>
  <c r="M20" i="4" s="1"/>
  <c r="F20" i="4"/>
  <c r="G20" i="4" s="1"/>
  <c r="AD19" i="4"/>
  <c r="AE19" i="4" s="1"/>
  <c r="X19" i="4"/>
  <c r="Y19" i="4" s="1"/>
  <c r="R19" i="4"/>
  <c r="S19" i="4" s="1"/>
  <c r="L19" i="4"/>
  <c r="M19" i="4" s="1"/>
  <c r="F19" i="4"/>
  <c r="G19" i="4" s="1"/>
  <c r="AD18" i="4"/>
  <c r="AE18" i="4" s="1"/>
  <c r="X18" i="4"/>
  <c r="Y18" i="4" s="1"/>
  <c r="R18" i="4"/>
  <c r="S18" i="4" s="1"/>
  <c r="L18" i="4"/>
  <c r="M18" i="4" s="1"/>
  <c r="F18" i="4"/>
  <c r="G18" i="4" s="1"/>
  <c r="AD17" i="4"/>
  <c r="AE17" i="4" s="1"/>
  <c r="X17" i="4"/>
  <c r="Y17" i="4" s="1"/>
  <c r="R17" i="4"/>
  <c r="S17" i="4" s="1"/>
  <c r="L17" i="4"/>
  <c r="M17" i="4" s="1"/>
  <c r="F17" i="4"/>
  <c r="G17" i="4" s="1"/>
  <c r="X16" i="4"/>
  <c r="Y16" i="4" s="1"/>
  <c r="R16" i="4"/>
  <c r="S16" i="4" s="1"/>
  <c r="L16" i="4"/>
  <c r="M16" i="4" s="1"/>
  <c r="F16" i="4"/>
  <c r="G16" i="4" s="1"/>
  <c r="X15" i="4"/>
  <c r="Y15" i="4" s="1"/>
  <c r="R15" i="4"/>
  <c r="S15" i="4" s="1"/>
  <c r="L15" i="4"/>
  <c r="M15" i="4" s="1"/>
  <c r="F15" i="4"/>
  <c r="G15" i="4" s="1"/>
  <c r="X14" i="4"/>
  <c r="Y14" i="4" s="1"/>
  <c r="R14" i="4"/>
  <c r="S14" i="4" s="1"/>
  <c r="L14" i="4"/>
  <c r="M14" i="4" s="1"/>
  <c r="F14" i="4"/>
  <c r="G14" i="4" s="1"/>
  <c r="X13" i="4"/>
  <c r="Y13" i="4" s="1"/>
  <c r="L13" i="4"/>
  <c r="M13" i="4" s="1"/>
  <c r="F13" i="4"/>
  <c r="G13" i="4" s="1"/>
  <c r="AD12" i="4"/>
  <c r="AE12" i="4" s="1"/>
  <c r="X12" i="4"/>
  <c r="Y12" i="4" s="1"/>
  <c r="R12" i="4"/>
  <c r="S12" i="4" s="1"/>
  <c r="L12" i="4"/>
  <c r="M12" i="4" s="1"/>
  <c r="F12" i="4"/>
  <c r="G12" i="4" s="1"/>
  <c r="AD11" i="4"/>
  <c r="AE11" i="4" s="1"/>
  <c r="X11" i="4"/>
  <c r="Y11" i="4" s="1"/>
  <c r="R11" i="4"/>
  <c r="S11" i="4" s="1"/>
  <c r="L11" i="4"/>
  <c r="M11" i="4" s="1"/>
  <c r="F11" i="4"/>
  <c r="G11" i="4" s="1"/>
  <c r="AD10" i="4"/>
  <c r="AE10" i="4" s="1"/>
  <c r="X10" i="4"/>
  <c r="Y10" i="4" s="1"/>
  <c r="R10" i="4"/>
  <c r="S10" i="4" s="1"/>
  <c r="L10" i="4"/>
  <c r="M10" i="4" s="1"/>
  <c r="F10" i="4"/>
  <c r="G10" i="4" s="1"/>
  <c r="AD9" i="4"/>
  <c r="AE9" i="4" s="1"/>
  <c r="X9" i="4"/>
  <c r="Y9" i="4" s="1"/>
  <c r="R9" i="4"/>
  <c r="S9" i="4" s="1"/>
  <c r="L9" i="4"/>
  <c r="M9" i="4" s="1"/>
  <c r="F9" i="4"/>
  <c r="G9" i="4" s="1"/>
  <c r="AD8" i="4"/>
  <c r="AE8" i="4" s="1"/>
  <c r="X8" i="4"/>
  <c r="Y8" i="4" s="1"/>
  <c r="R8" i="4"/>
  <c r="S8" i="4" s="1"/>
  <c r="L8" i="4"/>
  <c r="M8" i="4" s="1"/>
  <c r="F8" i="4"/>
  <c r="G8" i="4" s="1"/>
  <c r="X7" i="4"/>
  <c r="Y7" i="4" s="1"/>
  <c r="R7" i="4"/>
  <c r="S7" i="4" s="1"/>
  <c r="L7" i="4"/>
  <c r="M7" i="4" s="1"/>
  <c r="F7" i="4"/>
  <c r="G7" i="4" s="1"/>
  <c r="AD6" i="4"/>
  <c r="AE6" i="4" s="1"/>
  <c r="X6" i="4"/>
  <c r="Y6" i="4" s="1"/>
  <c r="R6" i="4"/>
  <c r="S6" i="4" s="1"/>
  <c r="L6" i="4"/>
  <c r="M6" i="4" s="1"/>
  <c r="F6" i="4"/>
  <c r="G6" i="4" s="1"/>
  <c r="AD5" i="4"/>
  <c r="AE5" i="4" s="1"/>
  <c r="X5" i="4"/>
  <c r="Y5" i="4" s="1"/>
  <c r="R5" i="4"/>
  <c r="S5" i="4" s="1"/>
  <c r="L5" i="4"/>
  <c r="M5" i="4" s="1"/>
  <c r="F5" i="4"/>
  <c r="G5" i="4" s="1"/>
  <c r="AD4" i="4"/>
  <c r="AE4" i="4" s="1"/>
  <c r="X4" i="4"/>
  <c r="Y4" i="4" s="1"/>
  <c r="R4" i="4"/>
  <c r="S4" i="4" s="1"/>
  <c r="L4" i="4"/>
  <c r="M4" i="4" s="1"/>
  <c r="F4" i="4"/>
  <c r="G4" i="4" s="1"/>
  <c r="AD3" i="4"/>
  <c r="AE3" i="4" s="1"/>
  <c r="X3" i="4"/>
  <c r="Y3" i="4" s="1"/>
  <c r="R3" i="4"/>
  <c r="S3" i="4" s="1"/>
  <c r="L3" i="4"/>
  <c r="M3" i="4" s="1"/>
  <c r="F3" i="4"/>
  <c r="G3" i="4" s="1"/>
  <c r="AD45" i="3"/>
  <c r="AE45" i="3" s="1"/>
  <c r="AD41" i="3"/>
  <c r="AE41" i="3" s="1"/>
  <c r="AD37" i="3"/>
  <c r="AE37" i="3" s="1"/>
  <c r="AD36" i="3"/>
  <c r="AE36" i="3" s="1"/>
  <c r="AD34" i="3"/>
  <c r="AE34" i="3" s="1"/>
  <c r="AD33" i="3"/>
  <c r="AE33" i="3" s="1"/>
  <c r="AD32" i="3"/>
  <c r="AE32" i="3" s="1"/>
  <c r="AD31" i="3"/>
  <c r="AE31" i="3" s="1"/>
  <c r="AD30" i="3"/>
  <c r="AE30" i="3" s="1"/>
  <c r="AD29" i="3"/>
  <c r="AE29" i="3" s="1"/>
  <c r="AD27" i="3"/>
  <c r="AE27" i="3" s="1"/>
  <c r="AD26" i="3"/>
  <c r="AE26" i="3" s="1"/>
  <c r="AD25" i="3"/>
  <c r="AE25" i="3" s="1"/>
  <c r="AD24" i="3"/>
  <c r="AE24" i="3" s="1"/>
  <c r="AD21" i="3"/>
  <c r="AE21" i="3" s="1"/>
  <c r="AD20" i="3"/>
  <c r="AE20" i="3" s="1"/>
  <c r="AD19" i="3"/>
  <c r="AE19" i="3" s="1"/>
  <c r="AD18" i="3"/>
  <c r="AE18" i="3" s="1"/>
  <c r="AD15" i="3"/>
  <c r="AE15" i="3" s="1"/>
  <c r="AD14" i="3"/>
  <c r="AE14" i="3" s="1"/>
  <c r="AD13" i="3"/>
  <c r="AE13" i="3" s="1"/>
  <c r="AD12" i="3"/>
  <c r="AE12" i="3" s="1"/>
  <c r="AD10" i="3"/>
  <c r="AE10" i="3" s="1"/>
  <c r="AD7" i="3"/>
  <c r="AE7" i="3" s="1"/>
  <c r="AD6" i="3"/>
  <c r="AE6" i="3" s="1"/>
  <c r="AD5" i="3"/>
  <c r="AE5" i="3" s="1"/>
  <c r="AD4" i="3"/>
  <c r="AE4" i="3" s="1"/>
  <c r="AD3" i="3"/>
  <c r="AE3" i="3" s="1"/>
  <c r="AD2" i="3"/>
  <c r="AE2" i="3" s="1"/>
  <c r="X49" i="3"/>
  <c r="Y49" i="3" s="1"/>
  <c r="X48" i="3"/>
  <c r="Y48" i="3" s="1"/>
  <c r="X47" i="3"/>
  <c r="Y47" i="3" s="1"/>
  <c r="X46" i="3"/>
  <c r="Y46" i="3" s="1"/>
  <c r="X45" i="3"/>
  <c r="Y45" i="3" s="1"/>
  <c r="X44" i="3"/>
  <c r="Y44" i="3" s="1"/>
  <c r="X43" i="3"/>
  <c r="Y43" i="3" s="1"/>
  <c r="X42" i="3"/>
  <c r="Y42" i="3" s="1"/>
  <c r="X41" i="3"/>
  <c r="Y41" i="3" s="1"/>
  <c r="X40" i="3"/>
  <c r="Y40" i="3" s="1"/>
  <c r="X39" i="3"/>
  <c r="Y39" i="3" s="1"/>
  <c r="X38" i="3"/>
  <c r="Y38" i="3" s="1"/>
  <c r="X34" i="3"/>
  <c r="Y34" i="3" s="1"/>
  <c r="X33" i="3"/>
  <c r="Y33" i="3" s="1"/>
  <c r="X30" i="3"/>
  <c r="Y30" i="3" s="1"/>
  <c r="X29" i="3"/>
  <c r="Y29" i="3" s="1"/>
  <c r="X28" i="3"/>
  <c r="Y28" i="3" s="1"/>
  <c r="X27" i="3"/>
  <c r="Y27" i="3" s="1"/>
  <c r="X24" i="3"/>
  <c r="Y24" i="3" s="1"/>
  <c r="X22" i="3"/>
  <c r="Y22" i="3" s="1"/>
  <c r="X21" i="3"/>
  <c r="Y21" i="3" s="1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Y14" i="3" s="1"/>
  <c r="X12" i="3"/>
  <c r="Y12" i="3" s="1"/>
  <c r="X10" i="3"/>
  <c r="Y10" i="3" s="1"/>
  <c r="X9" i="3"/>
  <c r="Y9" i="3" s="1"/>
  <c r="X8" i="3"/>
  <c r="Y8" i="3" s="1"/>
  <c r="X7" i="3"/>
  <c r="Y7" i="3" s="1"/>
  <c r="X5" i="3"/>
  <c r="Y5" i="3" s="1"/>
  <c r="X4" i="3"/>
  <c r="Y4" i="3" s="1"/>
  <c r="X3" i="3"/>
  <c r="Y3" i="3" s="1"/>
  <c r="X2" i="3"/>
  <c r="Y2" i="3" s="1"/>
  <c r="R49" i="3"/>
  <c r="S49" i="3" s="1"/>
  <c r="R48" i="3"/>
  <c r="S48" i="3" s="1"/>
  <c r="R47" i="3"/>
  <c r="S47" i="3" s="1"/>
  <c r="R46" i="3"/>
  <c r="S46" i="3" s="1"/>
  <c r="R45" i="3"/>
  <c r="S45" i="3" s="1"/>
  <c r="R44" i="3"/>
  <c r="S44" i="3" s="1"/>
  <c r="R43" i="3"/>
  <c r="S43" i="3" s="1"/>
  <c r="R42" i="3"/>
  <c r="S42" i="3" s="1"/>
  <c r="R41" i="3"/>
  <c r="S41" i="3" s="1"/>
  <c r="R40" i="3"/>
  <c r="S40" i="3" s="1"/>
  <c r="R39" i="3"/>
  <c r="S39" i="3" s="1"/>
  <c r="R38" i="3"/>
  <c r="S38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6" i="3"/>
  <c r="S16" i="3" s="1"/>
  <c r="R15" i="3"/>
  <c r="S15" i="3" s="1"/>
  <c r="R14" i="3"/>
  <c r="S14" i="3" s="1"/>
  <c r="R13" i="3"/>
  <c r="S13" i="3" s="1"/>
  <c r="R12" i="3"/>
  <c r="S12" i="3" s="1"/>
  <c r="R10" i="3"/>
  <c r="S10" i="3" s="1"/>
  <c r="R9" i="3"/>
  <c r="S9" i="3" s="1"/>
  <c r="R8" i="3"/>
  <c r="S8" i="3" s="1"/>
  <c r="R7" i="3"/>
  <c r="S7" i="3" s="1"/>
  <c r="R6" i="3"/>
  <c r="S6" i="3" s="1"/>
  <c r="R5" i="3"/>
  <c r="S5" i="3" s="1"/>
  <c r="R4" i="3"/>
  <c r="S4" i="3" s="1"/>
  <c r="R3" i="3"/>
  <c r="S3" i="3" s="1"/>
  <c r="R2" i="3"/>
  <c r="S2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L2" i="3"/>
  <c r="M2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" i="3"/>
  <c r="G2" i="3" s="1"/>
</calcChain>
</file>

<file path=xl/sharedStrings.xml><?xml version="1.0" encoding="utf-8"?>
<sst xmlns="http://schemas.openxmlformats.org/spreadsheetml/2006/main" count="4505" uniqueCount="55">
  <si>
    <t>Animal</t>
  </si>
  <si>
    <t>Slice</t>
  </si>
  <si>
    <t>Sex</t>
  </si>
  <si>
    <t>Subregion</t>
  </si>
  <si>
    <t>z-plane</t>
  </si>
  <si>
    <t>placement order</t>
  </si>
  <si>
    <t>baseline uM</t>
  </si>
  <si>
    <t>baseline DA/p</t>
  </si>
  <si>
    <t>Baseline Vmax</t>
  </si>
  <si>
    <t>MsM1</t>
  </si>
  <si>
    <t>R1</t>
  </si>
  <si>
    <t>Male</t>
  </si>
  <si>
    <t>dlCPu</t>
  </si>
  <si>
    <t>rostral</t>
  </si>
  <si>
    <t>p1</t>
  </si>
  <si>
    <t>vmCPu</t>
  </si>
  <si>
    <t>p5</t>
  </si>
  <si>
    <t>core</t>
  </si>
  <si>
    <t>p3</t>
  </si>
  <si>
    <t>lshell</t>
  </si>
  <si>
    <t>p2</t>
  </si>
  <si>
    <t>mshell</t>
  </si>
  <si>
    <t>p4</t>
  </si>
  <si>
    <t>R2</t>
  </si>
  <si>
    <t>MsM2</t>
  </si>
  <si>
    <t>MsM3</t>
  </si>
  <si>
    <t>NA</t>
  </si>
  <si>
    <t>MsM4</t>
  </si>
  <si>
    <t>MsM5</t>
  </si>
  <si>
    <t>MsM6</t>
  </si>
  <si>
    <t>C1</t>
  </si>
  <si>
    <t>caudal</t>
  </si>
  <si>
    <t>C2</t>
  </si>
  <si>
    <t>MsF1</t>
  </si>
  <si>
    <t>Female</t>
  </si>
  <si>
    <t>MsF2</t>
  </si>
  <si>
    <t>MsF3</t>
  </si>
  <si>
    <t>MsF4</t>
  </si>
  <si>
    <t>MsF5</t>
  </si>
  <si>
    <t>MsF6</t>
  </si>
  <si>
    <t>RtM1</t>
  </si>
  <si>
    <t>RtM2</t>
  </si>
  <si>
    <t>RtM3</t>
  </si>
  <si>
    <t>RtM4</t>
  </si>
  <si>
    <t>RtM5</t>
  </si>
  <si>
    <t>RtM6</t>
  </si>
  <si>
    <t>RtF1</t>
  </si>
  <si>
    <t>RtF2</t>
  </si>
  <si>
    <t>RtF3</t>
  </si>
  <si>
    <t>RtF4</t>
  </si>
  <si>
    <t>RtF5</t>
  </si>
  <si>
    <t>RtF6</t>
  </si>
  <si>
    <t>Baseline Vmax (nM/s)</t>
  </si>
  <si>
    <t>Vmax (uM/s)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</si>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</sst>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4" fillId="0" borderId="0" xfId="1" applyFont="1" applyFill="1"/>
    <xf numFmtId="165" fontId="4" fillId="0" borderId="0" xfId="1" applyNumberFormat="1" applyFont="1" applyFill="1"/>
    <xf numFmtId="0" fontId="0" fillId="3" borderId="0" xfId="0" applyFill="1"/>
    <xf numFmtId="0" fontId="2" fillId="0" borderId="0" xfId="0" applyFont="1"/>
    <xf numFmtId="0" fontId="6" fillId="0" borderId="0" xfId="0" applyFont="1"/>
    <xf numFmtId="165" fontId="2" fillId="0" borderId="0" xfId="0" applyNumberFormat="1" applyFont="1"/>
    <xf numFmtId="0" fontId="3" fillId="0" borderId="0" xfId="0" applyFont="1"/>
    <xf numFmtId="0" fontId="7" fillId="0" borderId="0" xfId="0" applyFon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164" fontId="0" fillId="0" borderId="0" xfId="0" applyNumberFormat="1"/>
    <xf numFmtId="0" fontId="0" fillId="0" borderId="5" xfId="0" applyBorder="1"/>
    <xf numFmtId="164" fontId="2" fillId="0" borderId="0" xfId="0" applyNumberFormat="1" applyFont="1"/>
    <xf numFmtId="164" fontId="4" fillId="0" borderId="0" xfId="1" applyNumberFormat="1" applyFont="1" applyFill="1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2" fillId="0" borderId="7" xfId="0" applyNumberFormat="1" applyFont="1" applyBorder="1"/>
    <xf numFmtId="0" fontId="0" fillId="0" borderId="8" xfId="0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3" xfId="0" applyNumberFormat="1" applyBorder="1"/>
    <xf numFmtId="164" fontId="2" fillId="0" borderId="2" xfId="0" applyNumberFormat="1" applyFont="1" applyBorder="1"/>
    <xf numFmtId="164" fontId="4" fillId="0" borderId="0" xfId="0" applyNumberFormat="1" applyFont="1"/>
    <xf numFmtId="164" fontId="5" fillId="0" borderId="0" xfId="0" applyNumberFormat="1" applyFont="1"/>
    <xf numFmtId="164" fontId="5" fillId="0" borderId="7" xfId="0" applyNumberFormat="1" applyFont="1" applyBorder="1"/>
    <xf numFmtId="164" fontId="2" fillId="0" borderId="5" xfId="0" applyNumberFormat="1" applyFont="1" applyBorder="1"/>
    <xf numFmtId="164" fontId="4" fillId="0" borderId="5" xfId="0" applyNumberFormat="1" applyFont="1" applyBorder="1"/>
    <xf numFmtId="0" fontId="0" fillId="3" borderId="4" xfId="0" applyFill="1" applyBorder="1"/>
    <xf numFmtId="0" fontId="0" fillId="3" borderId="5" xfId="0" applyFill="1" applyBorder="1"/>
    <xf numFmtId="165" fontId="0" fillId="0" borderId="0" xfId="0" applyNumberFormat="1"/>
    <xf numFmtId="0" fontId="4" fillId="0" borderId="0" xfId="1" applyFont="1" applyFill="1" applyBorder="1"/>
    <xf numFmtId="0" fontId="4" fillId="0" borderId="0" xfId="0" applyFont="1"/>
    <xf numFmtId="164" fontId="5" fillId="0" borderId="5" xfId="0" applyNumberFormat="1" applyFont="1" applyBorder="1"/>
    <xf numFmtId="164" fontId="4" fillId="0" borderId="5" xfId="1" applyNumberFormat="1" applyFont="1" applyFill="1" applyBorder="1"/>
    <xf numFmtId="0" fontId="3" fillId="3" borderId="0" xfId="0" applyFont="1" applyFill="1"/>
    <xf numFmtId="0" fontId="2" fillId="3" borderId="0" xfId="0" applyFont="1" applyFill="1"/>
    <xf numFmtId="165" fontId="2" fillId="3" borderId="0" xfId="0" applyNumberFormat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0796-BD68-457A-AB1C-14323D33C8A5}">
  <dimension ref="A1:AS64"/>
  <sheetViews>
    <sheetView tabSelected="1" topLeftCell="AK1" zoomScaleNormal="100" workbookViewId="0">
      <selection activeCell="AN8" sqref="AN8"/>
    </sheetView>
  </sheetViews>
  <sheetFormatPr defaultRowHeight="15" x14ac:dyDescent="0.25"/>
  <cols>
    <col min="1" max="1" width="7.28515625" bestFit="1" customWidth="1"/>
    <col min="2" max="2" width="5.140625" bestFit="1" customWidth="1"/>
    <col min="3" max="3" width="7.5703125" bestFit="1" customWidth="1"/>
    <col min="4" max="4" width="10" bestFit="1" customWidth="1"/>
    <col min="5" max="5" width="7.5703125" bestFit="1" customWidth="1"/>
    <col min="6" max="6" width="15.85546875" bestFit="1" customWidth="1"/>
    <col min="7" max="7" width="11.85546875" bestFit="1" customWidth="1"/>
    <col min="8" max="8" width="13.7109375" bestFit="1" customWidth="1"/>
    <col min="9" max="9" width="14.140625" bestFit="1" customWidth="1"/>
    <col min="10" max="10" width="7.28515625" bestFit="1" customWidth="1"/>
    <col min="11" max="11" width="5.140625" bestFit="1" customWidth="1"/>
    <col min="12" max="12" width="7.5703125" bestFit="1" customWidth="1"/>
    <col min="13" max="13" width="10" bestFit="1" customWidth="1"/>
    <col min="14" max="14" width="7.5703125" bestFit="1" customWidth="1"/>
    <col min="15" max="15" width="15.85546875" bestFit="1" customWidth="1"/>
    <col min="16" max="16" width="11.85546875" bestFit="1" customWidth="1"/>
    <col min="17" max="17" width="13.7109375" bestFit="1" customWidth="1"/>
    <col min="18" max="18" width="14.140625" bestFit="1" customWidth="1"/>
    <col min="19" max="19" width="7.28515625" bestFit="1" customWidth="1"/>
    <col min="20" max="20" width="5.140625" bestFit="1" customWidth="1"/>
    <col min="21" max="21" width="7.5703125" bestFit="1" customWidth="1"/>
    <col min="22" max="22" width="10" bestFit="1" customWidth="1"/>
    <col min="23" max="23" width="7.5703125" bestFit="1" customWidth="1"/>
    <col min="24" max="24" width="15.85546875" bestFit="1" customWidth="1"/>
    <col min="25" max="25" width="11.85546875" bestFit="1" customWidth="1"/>
    <col min="26" max="26" width="13.7109375" bestFit="1" customWidth="1"/>
    <col min="27" max="27" width="14.140625" bestFit="1" customWidth="1"/>
    <col min="28" max="28" width="7.28515625" bestFit="1" customWidth="1"/>
    <col min="29" max="29" width="5.140625" bestFit="1" customWidth="1"/>
    <col min="30" max="30" width="7.5703125" bestFit="1" customWidth="1"/>
    <col min="31" max="31" width="10" bestFit="1" customWidth="1"/>
    <col min="32" max="32" width="7.5703125" bestFit="1" customWidth="1"/>
    <col min="33" max="33" width="15.85546875" bestFit="1" customWidth="1"/>
    <col min="34" max="34" width="11.85546875" bestFit="1" customWidth="1"/>
    <col min="35" max="35" width="13.7109375" bestFit="1" customWidth="1"/>
    <col min="36" max="36" width="14.140625" bestFit="1" customWidth="1"/>
    <col min="37" max="37" width="7.28515625" bestFit="1" customWidth="1"/>
    <col min="38" max="38" width="5.140625" bestFit="1" customWidth="1"/>
    <col min="39" max="39" width="7.5703125" bestFit="1" customWidth="1"/>
    <col min="40" max="40" width="10" bestFit="1" customWidth="1"/>
    <col min="41" max="41" width="7.5703125" bestFit="1" customWidth="1"/>
    <col min="42" max="42" width="15.85546875" bestFit="1" customWidth="1"/>
    <col min="43" max="43" width="11.85546875" bestFit="1" customWidth="1"/>
    <col min="44" max="44" width="13.7109375" bestFit="1" customWidth="1"/>
    <col min="45" max="45" width="14.140625" bestFit="1" customWidth="1"/>
  </cols>
  <sheetData>
    <row r="1" spans="1:4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9" t="s">
        <v>0</v>
      </c>
      <c r="K1" s="10" t="s">
        <v>1</v>
      </c>
      <c r="L1" s="10" t="s">
        <v>2</v>
      </c>
      <c r="M1" s="10" t="s">
        <v>3</v>
      </c>
      <c r="N1" s="10" t="s">
        <v>4</v>
      </c>
      <c r="O1" s="10" t="s">
        <v>5</v>
      </c>
      <c r="P1" s="11" t="s">
        <v>6</v>
      </c>
      <c r="Q1" s="11" t="s">
        <v>7</v>
      </c>
      <c r="R1" s="11" t="s">
        <v>8</v>
      </c>
      <c r="S1" s="9" t="s">
        <v>0</v>
      </c>
      <c r="T1" s="10" t="s">
        <v>1</v>
      </c>
      <c r="U1" s="10" t="s">
        <v>2</v>
      </c>
      <c r="V1" s="10" t="s">
        <v>3</v>
      </c>
      <c r="W1" s="10" t="s">
        <v>4</v>
      </c>
      <c r="X1" s="10" t="s">
        <v>5</v>
      </c>
      <c r="Y1" s="11" t="s">
        <v>6</v>
      </c>
      <c r="Z1" s="11" t="s">
        <v>7</v>
      </c>
      <c r="AA1" s="11" t="s">
        <v>8</v>
      </c>
      <c r="AB1" s="9" t="s">
        <v>0</v>
      </c>
      <c r="AC1" s="10" t="s">
        <v>1</v>
      </c>
      <c r="AD1" s="10" t="s">
        <v>2</v>
      </c>
      <c r="AE1" s="10" t="s">
        <v>3</v>
      </c>
      <c r="AF1" s="10" t="s">
        <v>4</v>
      </c>
      <c r="AG1" s="10" t="s">
        <v>5</v>
      </c>
      <c r="AH1" s="11" t="s">
        <v>6</v>
      </c>
      <c r="AI1" s="11" t="s">
        <v>7</v>
      </c>
      <c r="AJ1" s="11" t="s">
        <v>8</v>
      </c>
      <c r="AK1" s="9" t="s">
        <v>0</v>
      </c>
      <c r="AL1" s="10" t="s">
        <v>1</v>
      </c>
      <c r="AM1" s="10" t="s">
        <v>2</v>
      </c>
      <c r="AN1" s="10" t="s">
        <v>3</v>
      </c>
      <c r="AO1" s="10" t="s">
        <v>4</v>
      </c>
      <c r="AP1" s="10" t="s">
        <v>5</v>
      </c>
      <c r="AQ1" s="11" t="s">
        <v>6</v>
      </c>
      <c r="AR1" s="11" t="s">
        <v>7</v>
      </c>
      <c r="AS1" s="25" t="s">
        <v>8</v>
      </c>
    </row>
    <row r="2" spans="1:45" x14ac:dyDescent="0.25">
      <c r="A2" s="1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4">
        <v>2.08</v>
      </c>
      <c r="H2" s="14">
        <v>1568</v>
      </c>
      <c r="I2" s="14">
        <v>2947.6</v>
      </c>
      <c r="J2" s="13" t="s">
        <v>9</v>
      </c>
      <c r="K2" t="s">
        <v>10</v>
      </c>
      <c r="L2" t="s">
        <v>11</v>
      </c>
      <c r="M2" t="s">
        <v>15</v>
      </c>
      <c r="N2" t="s">
        <v>13</v>
      </c>
      <c r="O2" t="s">
        <v>16</v>
      </c>
      <c r="P2" s="16">
        <v>2.09</v>
      </c>
      <c r="Q2" s="16">
        <v>1673.92</v>
      </c>
      <c r="R2" s="16">
        <v>3733.57</v>
      </c>
      <c r="S2" s="13" t="s">
        <v>9</v>
      </c>
      <c r="T2" t="s">
        <v>10</v>
      </c>
      <c r="U2" t="s">
        <v>11</v>
      </c>
      <c r="V2" t="s">
        <v>17</v>
      </c>
      <c r="W2" t="s">
        <v>13</v>
      </c>
      <c r="X2" t="s">
        <v>18</v>
      </c>
      <c r="Y2" s="16">
        <v>2.0299999999999998</v>
      </c>
      <c r="Z2" s="16">
        <v>1610.35</v>
      </c>
      <c r="AA2" s="16">
        <v>2751.05</v>
      </c>
      <c r="AB2" s="13" t="s">
        <v>9</v>
      </c>
      <c r="AC2" t="s">
        <v>10</v>
      </c>
      <c r="AD2" t="s">
        <v>11</v>
      </c>
      <c r="AE2" t="s">
        <v>19</v>
      </c>
      <c r="AF2" t="s">
        <v>13</v>
      </c>
      <c r="AG2" t="s">
        <v>20</v>
      </c>
      <c r="AH2" s="16">
        <v>0.28000000000000003</v>
      </c>
      <c r="AI2" s="16">
        <v>233.08</v>
      </c>
      <c r="AJ2" s="16">
        <v>786.01</v>
      </c>
      <c r="AK2" s="13" t="s">
        <v>9</v>
      </c>
      <c r="AL2" t="s">
        <v>10</v>
      </c>
      <c r="AM2" t="s">
        <v>11</v>
      </c>
      <c r="AN2" t="s">
        <v>21</v>
      </c>
      <c r="AO2" t="s">
        <v>13</v>
      </c>
      <c r="AP2" s="7" t="s">
        <v>22</v>
      </c>
      <c r="AQ2" s="16">
        <v>0.17</v>
      </c>
      <c r="AR2" s="16">
        <v>154.76</v>
      </c>
      <c r="AS2" s="30">
        <v>786.01</v>
      </c>
    </row>
    <row r="3" spans="1:45" x14ac:dyDescent="0.25">
      <c r="A3" s="13" t="s">
        <v>9</v>
      </c>
      <c r="B3" t="s">
        <v>23</v>
      </c>
      <c r="C3" t="s">
        <v>11</v>
      </c>
      <c r="D3" t="s">
        <v>12</v>
      </c>
      <c r="E3" t="s">
        <v>13</v>
      </c>
      <c r="F3" t="s">
        <v>18</v>
      </c>
      <c r="G3" s="16">
        <v>1.05</v>
      </c>
      <c r="H3" s="16">
        <v>678.04</v>
      </c>
      <c r="I3" s="16">
        <v>786.01</v>
      </c>
      <c r="J3" s="13" t="s">
        <v>9</v>
      </c>
      <c r="K3" t="s">
        <v>23</v>
      </c>
      <c r="L3" t="s">
        <v>11</v>
      </c>
      <c r="M3" t="s">
        <v>15</v>
      </c>
      <c r="N3" t="s">
        <v>13</v>
      </c>
      <c r="O3" t="s">
        <v>14</v>
      </c>
      <c r="P3" s="16">
        <v>2.5499999999999998</v>
      </c>
      <c r="Q3" s="16">
        <v>1991.75</v>
      </c>
      <c r="R3" s="16">
        <v>3144.06</v>
      </c>
      <c r="S3" s="13" t="s">
        <v>9</v>
      </c>
      <c r="T3" t="s">
        <v>23</v>
      </c>
      <c r="U3" t="s">
        <v>11</v>
      </c>
      <c r="V3" t="s">
        <v>17</v>
      </c>
      <c r="W3" t="s">
        <v>13</v>
      </c>
      <c r="X3" t="s">
        <v>22</v>
      </c>
      <c r="Y3" s="16">
        <v>2.92</v>
      </c>
      <c r="Z3" s="16">
        <v>2161.2600000000002</v>
      </c>
      <c r="AA3" s="16">
        <v>2947.55</v>
      </c>
      <c r="AB3" s="13" t="s">
        <v>9</v>
      </c>
      <c r="AC3" t="s">
        <v>23</v>
      </c>
      <c r="AD3" t="s">
        <v>11</v>
      </c>
      <c r="AE3" t="s">
        <v>19</v>
      </c>
      <c r="AF3" t="s">
        <v>13</v>
      </c>
      <c r="AG3" t="s">
        <v>16</v>
      </c>
      <c r="AH3" s="16">
        <v>0.3</v>
      </c>
      <c r="AI3" s="16">
        <v>260.7</v>
      </c>
      <c r="AJ3" s="16">
        <v>786.01</v>
      </c>
      <c r="AK3" s="13" t="s">
        <v>9</v>
      </c>
      <c r="AL3" t="s">
        <v>23</v>
      </c>
      <c r="AM3" t="s">
        <v>11</v>
      </c>
      <c r="AN3" t="s">
        <v>21</v>
      </c>
      <c r="AO3" t="s">
        <v>13</v>
      </c>
      <c r="AP3" s="7" t="s">
        <v>20</v>
      </c>
      <c r="AQ3" s="16">
        <v>0.66</v>
      </c>
      <c r="AR3" s="16">
        <v>509</v>
      </c>
      <c r="AS3" s="30">
        <v>1179.02</v>
      </c>
    </row>
    <row r="4" spans="1:45" x14ac:dyDescent="0.25">
      <c r="A4" s="13" t="s">
        <v>24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s="17">
        <v>1.76</v>
      </c>
      <c r="H4" s="17">
        <v>1483.22</v>
      </c>
      <c r="I4" s="17">
        <v>3340.56</v>
      </c>
      <c r="J4" s="13" t="s">
        <v>24</v>
      </c>
      <c r="K4" t="s">
        <v>10</v>
      </c>
      <c r="L4" t="s">
        <v>11</v>
      </c>
      <c r="M4" t="s">
        <v>15</v>
      </c>
      <c r="N4" t="s">
        <v>13</v>
      </c>
      <c r="O4" t="s">
        <v>22</v>
      </c>
      <c r="P4" s="17">
        <v>2.39</v>
      </c>
      <c r="Q4" s="17">
        <v>1779.86</v>
      </c>
      <c r="R4" s="17">
        <v>2358.04</v>
      </c>
      <c r="S4" s="13" t="s">
        <v>24</v>
      </c>
      <c r="T4" t="s">
        <v>10</v>
      </c>
      <c r="U4" t="s">
        <v>11</v>
      </c>
      <c r="V4" t="s">
        <v>17</v>
      </c>
      <c r="W4" t="s">
        <v>13</v>
      </c>
      <c r="X4" t="s">
        <v>20</v>
      </c>
      <c r="Y4" s="17">
        <v>0.64</v>
      </c>
      <c r="Z4" s="17">
        <v>508.53</v>
      </c>
      <c r="AA4" s="17">
        <v>1375.52</v>
      </c>
      <c r="AB4" s="13" t="s">
        <v>24</v>
      </c>
      <c r="AC4" t="s">
        <v>10</v>
      </c>
      <c r="AD4" t="s">
        <v>11</v>
      </c>
      <c r="AE4" t="s">
        <v>19</v>
      </c>
      <c r="AF4" t="s">
        <v>13</v>
      </c>
      <c r="AG4" t="s">
        <v>14</v>
      </c>
      <c r="AH4" s="17">
        <v>0.41</v>
      </c>
      <c r="AI4" s="17">
        <v>317.83</v>
      </c>
      <c r="AJ4" s="17">
        <v>1179.02</v>
      </c>
      <c r="AK4" s="13" t="s">
        <v>24</v>
      </c>
      <c r="AL4" t="s">
        <v>10</v>
      </c>
      <c r="AM4" t="s">
        <v>11</v>
      </c>
      <c r="AN4" t="s">
        <v>21</v>
      </c>
      <c r="AO4" t="s">
        <v>13</v>
      </c>
      <c r="AP4" s="35" t="s">
        <v>18</v>
      </c>
      <c r="AQ4" s="17">
        <v>0.17</v>
      </c>
      <c r="AR4" s="17">
        <v>148.32</v>
      </c>
      <c r="AS4" s="38">
        <v>786.01</v>
      </c>
    </row>
    <row r="5" spans="1:45" x14ac:dyDescent="0.25">
      <c r="A5" s="13" t="s">
        <v>24</v>
      </c>
      <c r="B5" t="s">
        <v>23</v>
      </c>
      <c r="C5" t="s">
        <v>11</v>
      </c>
      <c r="D5" t="s">
        <v>12</v>
      </c>
      <c r="E5" t="s">
        <v>13</v>
      </c>
      <c r="F5" t="s">
        <v>18</v>
      </c>
      <c r="G5" s="16">
        <v>0.68</v>
      </c>
      <c r="H5" s="16">
        <v>550.91</v>
      </c>
      <c r="I5" s="16">
        <v>1179.02</v>
      </c>
      <c r="J5" s="13" t="s">
        <v>24</v>
      </c>
      <c r="K5" t="s">
        <v>23</v>
      </c>
      <c r="L5" t="s">
        <v>11</v>
      </c>
      <c r="M5" t="s">
        <v>15</v>
      </c>
      <c r="N5" t="s">
        <v>13</v>
      </c>
      <c r="O5" t="s">
        <v>14</v>
      </c>
      <c r="P5" s="16">
        <v>3.81</v>
      </c>
      <c r="Q5" s="16">
        <v>2796.92</v>
      </c>
      <c r="R5" s="16">
        <v>4323.08</v>
      </c>
      <c r="S5" s="13" t="s">
        <v>24</v>
      </c>
      <c r="T5" t="s">
        <v>23</v>
      </c>
      <c r="U5" t="s">
        <v>11</v>
      </c>
      <c r="V5" t="s">
        <v>17</v>
      </c>
      <c r="W5" t="s">
        <v>13</v>
      </c>
      <c r="X5" t="s">
        <v>20</v>
      </c>
      <c r="Y5" s="16">
        <v>0.47</v>
      </c>
      <c r="Z5" s="16">
        <v>360.21</v>
      </c>
      <c r="AA5" s="16">
        <v>786.01</v>
      </c>
      <c r="AB5" s="13" t="s">
        <v>24</v>
      </c>
      <c r="AC5" t="s">
        <v>23</v>
      </c>
      <c r="AD5" t="s">
        <v>11</v>
      </c>
      <c r="AE5" t="s">
        <v>19</v>
      </c>
      <c r="AF5" t="s">
        <v>13</v>
      </c>
      <c r="AG5" t="s">
        <v>22</v>
      </c>
      <c r="AH5" s="16">
        <v>0.34</v>
      </c>
      <c r="AI5" s="16">
        <v>254.27</v>
      </c>
      <c r="AJ5" s="16">
        <v>589.51</v>
      </c>
      <c r="AK5" s="13" t="s">
        <v>24</v>
      </c>
      <c r="AL5" t="s">
        <v>23</v>
      </c>
      <c r="AM5" t="s">
        <v>11</v>
      </c>
      <c r="AN5" t="s">
        <v>21</v>
      </c>
      <c r="AO5" t="s">
        <v>13</v>
      </c>
      <c r="AP5" s="7" t="s">
        <v>16</v>
      </c>
      <c r="AQ5" s="16">
        <v>0.57999999999999996</v>
      </c>
      <c r="AR5" s="16">
        <v>423.78</v>
      </c>
      <c r="AS5" s="30">
        <v>786.01</v>
      </c>
    </row>
    <row r="6" spans="1:45" x14ac:dyDescent="0.25">
      <c r="A6" s="13" t="s">
        <v>25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s="16">
        <v>4.2699999999999996</v>
      </c>
      <c r="H6" s="16">
        <v>3030</v>
      </c>
      <c r="I6" s="16">
        <v>5502.1</v>
      </c>
      <c r="J6" s="13" t="s">
        <v>25</v>
      </c>
      <c r="K6" t="s">
        <v>10</v>
      </c>
      <c r="L6" t="s">
        <v>11</v>
      </c>
      <c r="M6" t="s">
        <v>15</v>
      </c>
      <c r="N6" t="s">
        <v>13</v>
      </c>
      <c r="O6" t="s">
        <v>20</v>
      </c>
      <c r="P6" s="16">
        <v>1.67</v>
      </c>
      <c r="Q6" s="16">
        <v>1334.9</v>
      </c>
      <c r="R6" s="16">
        <v>2554.5500000000002</v>
      </c>
      <c r="S6" s="13" t="s">
        <v>25</v>
      </c>
      <c r="T6" t="s">
        <v>10</v>
      </c>
      <c r="U6" t="s">
        <v>11</v>
      </c>
      <c r="V6" t="s">
        <v>17</v>
      </c>
      <c r="W6" t="s">
        <v>13</v>
      </c>
      <c r="X6" t="s">
        <v>14</v>
      </c>
      <c r="Y6" s="16">
        <v>0.84</v>
      </c>
      <c r="Z6" s="16">
        <v>678.04</v>
      </c>
      <c r="AA6" s="16">
        <v>1572.03</v>
      </c>
      <c r="AB6" s="13" t="s">
        <v>25</v>
      </c>
      <c r="AC6" t="s">
        <v>10</v>
      </c>
      <c r="AD6" t="s">
        <v>11</v>
      </c>
      <c r="AE6" t="s">
        <v>19</v>
      </c>
      <c r="AF6" t="s">
        <v>13</v>
      </c>
      <c r="AG6" t="s">
        <v>16</v>
      </c>
      <c r="AH6" s="14" t="s">
        <v>26</v>
      </c>
      <c r="AI6" s="14" t="s">
        <v>26</v>
      </c>
      <c r="AJ6" s="14" t="s">
        <v>26</v>
      </c>
      <c r="AK6" s="13" t="s">
        <v>25</v>
      </c>
      <c r="AL6" t="s">
        <v>10</v>
      </c>
      <c r="AM6" t="s">
        <v>11</v>
      </c>
      <c r="AN6" t="s">
        <v>21</v>
      </c>
      <c r="AO6" t="s">
        <v>13</v>
      </c>
      <c r="AP6" s="7" t="s">
        <v>22</v>
      </c>
      <c r="AQ6" s="16">
        <v>0.31</v>
      </c>
      <c r="AR6" s="16">
        <v>233.08</v>
      </c>
      <c r="AS6" s="30">
        <v>589.51</v>
      </c>
    </row>
    <row r="7" spans="1:45" x14ac:dyDescent="0.25">
      <c r="A7" s="13" t="s">
        <v>25</v>
      </c>
      <c r="B7" t="s">
        <v>23</v>
      </c>
      <c r="C7" t="s">
        <v>11</v>
      </c>
      <c r="D7" t="s">
        <v>12</v>
      </c>
      <c r="E7" t="s">
        <v>13</v>
      </c>
      <c r="F7" t="s">
        <v>14</v>
      </c>
      <c r="G7" s="16">
        <v>1.22</v>
      </c>
      <c r="H7" s="16">
        <v>932.31</v>
      </c>
      <c r="I7" s="16">
        <v>1179.02</v>
      </c>
      <c r="J7" s="13" t="s">
        <v>25</v>
      </c>
      <c r="K7" t="s">
        <v>23</v>
      </c>
      <c r="L7" t="s">
        <v>11</v>
      </c>
      <c r="M7" t="s">
        <v>15</v>
      </c>
      <c r="N7" t="s">
        <v>13</v>
      </c>
      <c r="O7" t="s">
        <v>22</v>
      </c>
      <c r="P7" s="16">
        <v>0.75</v>
      </c>
      <c r="Q7" s="16">
        <v>572.1</v>
      </c>
      <c r="R7" s="16">
        <v>1179.02</v>
      </c>
      <c r="S7" s="13" t="s">
        <v>25</v>
      </c>
      <c r="T7" t="s">
        <v>23</v>
      </c>
      <c r="U7" t="s">
        <v>11</v>
      </c>
      <c r="V7" t="s">
        <v>17</v>
      </c>
      <c r="W7" t="s">
        <v>13</v>
      </c>
      <c r="X7" t="s">
        <v>20</v>
      </c>
      <c r="Y7" s="16">
        <v>1.23</v>
      </c>
      <c r="Z7" s="16">
        <v>974.69</v>
      </c>
      <c r="AA7" s="16">
        <v>2161.54</v>
      </c>
      <c r="AB7" s="13" t="s">
        <v>25</v>
      </c>
      <c r="AC7" t="s">
        <v>23</v>
      </c>
      <c r="AD7" t="s">
        <v>11</v>
      </c>
      <c r="AE7" t="s">
        <v>19</v>
      </c>
      <c r="AF7" t="s">
        <v>13</v>
      </c>
      <c r="AG7" t="s">
        <v>16</v>
      </c>
      <c r="AH7" s="16">
        <v>0.22</v>
      </c>
      <c r="AI7" s="16">
        <v>169.51</v>
      </c>
      <c r="AJ7" s="16">
        <v>393.01</v>
      </c>
      <c r="AK7" s="13" t="s">
        <v>25</v>
      </c>
      <c r="AL7" t="s">
        <v>23</v>
      </c>
      <c r="AM7" t="s">
        <v>11</v>
      </c>
      <c r="AN7" t="s">
        <v>21</v>
      </c>
      <c r="AO7" t="s">
        <v>13</v>
      </c>
      <c r="AP7" s="7" t="s">
        <v>18</v>
      </c>
      <c r="AQ7" s="16">
        <v>0.52</v>
      </c>
      <c r="AR7" s="16">
        <v>402.59</v>
      </c>
      <c r="AS7" s="30">
        <v>1179.02</v>
      </c>
    </row>
    <row r="8" spans="1:45" x14ac:dyDescent="0.25">
      <c r="A8" s="13" t="s">
        <v>27</v>
      </c>
      <c r="B8" t="s">
        <v>10</v>
      </c>
      <c r="C8" t="s">
        <v>11</v>
      </c>
      <c r="D8" t="s">
        <v>12</v>
      </c>
      <c r="E8" t="s">
        <v>13</v>
      </c>
      <c r="F8" t="s">
        <v>22</v>
      </c>
      <c r="G8" s="16">
        <v>1.2</v>
      </c>
      <c r="H8" s="16">
        <v>911.12</v>
      </c>
      <c r="I8" s="16">
        <v>1179.02</v>
      </c>
      <c r="J8" s="13" t="s">
        <v>27</v>
      </c>
      <c r="K8" t="s">
        <v>10</v>
      </c>
      <c r="L8" t="s">
        <v>11</v>
      </c>
      <c r="M8" t="s">
        <v>15</v>
      </c>
      <c r="N8" t="s">
        <v>13</v>
      </c>
      <c r="O8" t="s">
        <v>14</v>
      </c>
      <c r="P8" s="16">
        <v>2.13</v>
      </c>
      <c r="Q8" s="16">
        <v>1589.16</v>
      </c>
      <c r="R8" s="16">
        <v>2751.05</v>
      </c>
      <c r="S8" s="13" t="s">
        <v>27</v>
      </c>
      <c r="T8" t="s">
        <v>10</v>
      </c>
      <c r="U8" t="s">
        <v>11</v>
      </c>
      <c r="V8" t="s">
        <v>17</v>
      </c>
      <c r="W8" t="s">
        <v>13</v>
      </c>
      <c r="X8" t="s">
        <v>20</v>
      </c>
      <c r="Y8" s="16">
        <v>1.19</v>
      </c>
      <c r="Z8" s="16">
        <v>932.31</v>
      </c>
      <c r="AA8" s="16">
        <v>2358.04</v>
      </c>
      <c r="AB8" s="13" t="s">
        <v>27</v>
      </c>
      <c r="AC8" t="s">
        <v>10</v>
      </c>
      <c r="AD8" t="s">
        <v>11</v>
      </c>
      <c r="AE8" t="s">
        <v>19</v>
      </c>
      <c r="AF8" t="s">
        <v>13</v>
      </c>
      <c r="AG8" t="s">
        <v>18</v>
      </c>
      <c r="AH8" s="16">
        <v>0.6</v>
      </c>
      <c r="AI8" s="16">
        <v>444.97</v>
      </c>
      <c r="AJ8" s="16">
        <v>982.52</v>
      </c>
      <c r="AK8" s="13" t="s">
        <v>27</v>
      </c>
      <c r="AL8" t="s">
        <v>10</v>
      </c>
      <c r="AM8" t="s">
        <v>11</v>
      </c>
      <c r="AN8" t="s">
        <v>21</v>
      </c>
      <c r="AO8" t="s">
        <v>13</v>
      </c>
      <c r="AP8" s="7" t="s">
        <v>16</v>
      </c>
      <c r="AQ8" s="14" t="s">
        <v>26</v>
      </c>
      <c r="AR8" s="14" t="s">
        <v>26</v>
      </c>
      <c r="AS8" s="18" t="s">
        <v>26</v>
      </c>
    </row>
    <row r="9" spans="1:45" x14ac:dyDescent="0.25">
      <c r="A9" s="13" t="s">
        <v>27</v>
      </c>
      <c r="B9" t="s">
        <v>23</v>
      </c>
      <c r="C9" t="s">
        <v>11</v>
      </c>
      <c r="D9" t="s">
        <v>12</v>
      </c>
      <c r="E9" t="s">
        <v>13</v>
      </c>
      <c r="F9" t="s">
        <v>22</v>
      </c>
      <c r="G9" s="16">
        <v>0.22</v>
      </c>
      <c r="H9" s="16">
        <v>169.51</v>
      </c>
      <c r="I9" s="16">
        <v>393.01</v>
      </c>
      <c r="J9" s="13" t="s">
        <v>27</v>
      </c>
      <c r="K9" t="s">
        <v>23</v>
      </c>
      <c r="L9" t="s">
        <v>11</v>
      </c>
      <c r="M9" t="s">
        <v>15</v>
      </c>
      <c r="N9" t="s">
        <v>13</v>
      </c>
      <c r="O9" t="s">
        <v>18</v>
      </c>
      <c r="P9" s="16">
        <v>2.13</v>
      </c>
      <c r="Q9" s="16">
        <v>1546.78</v>
      </c>
      <c r="R9" s="16">
        <v>2358.04</v>
      </c>
      <c r="S9" s="13" t="s">
        <v>27</v>
      </c>
      <c r="T9" t="s">
        <v>23</v>
      </c>
      <c r="U9" t="s">
        <v>11</v>
      </c>
      <c r="V9" t="s">
        <v>17</v>
      </c>
      <c r="W9" t="s">
        <v>13</v>
      </c>
      <c r="X9" t="s">
        <v>16</v>
      </c>
      <c r="Y9" s="16">
        <v>1.91</v>
      </c>
      <c r="Z9" s="16">
        <v>1504.41</v>
      </c>
      <c r="AA9" s="16">
        <v>2751.05</v>
      </c>
      <c r="AB9" s="13" t="s">
        <v>27</v>
      </c>
      <c r="AC9" t="s">
        <v>23</v>
      </c>
      <c r="AD9" t="s">
        <v>11</v>
      </c>
      <c r="AE9" t="s">
        <v>19</v>
      </c>
      <c r="AF9" t="s">
        <v>13</v>
      </c>
      <c r="AG9" t="s">
        <v>20</v>
      </c>
      <c r="AH9" s="16">
        <v>0.48</v>
      </c>
      <c r="AI9" s="16">
        <v>487.34</v>
      </c>
      <c r="AJ9" s="16">
        <v>2554.5500000000002</v>
      </c>
      <c r="AK9" s="13" t="s">
        <v>27</v>
      </c>
      <c r="AL9" t="s">
        <v>23</v>
      </c>
      <c r="AM9" t="s">
        <v>11</v>
      </c>
      <c r="AN9" t="s">
        <v>21</v>
      </c>
      <c r="AO9" t="s">
        <v>13</v>
      </c>
      <c r="AP9" s="7" t="s">
        <v>14</v>
      </c>
      <c r="AQ9" s="14" t="s">
        <v>26</v>
      </c>
      <c r="AR9" s="14" t="s">
        <v>26</v>
      </c>
      <c r="AS9" s="18" t="s">
        <v>26</v>
      </c>
    </row>
    <row r="10" spans="1:45" x14ac:dyDescent="0.25">
      <c r="A10" s="13" t="s">
        <v>28</v>
      </c>
      <c r="B10" t="s">
        <v>10</v>
      </c>
      <c r="C10" t="s">
        <v>11</v>
      </c>
      <c r="D10" t="s">
        <v>12</v>
      </c>
      <c r="E10" t="s">
        <v>13</v>
      </c>
      <c r="F10" t="s">
        <v>16</v>
      </c>
      <c r="G10" s="16">
        <v>2.84</v>
      </c>
      <c r="H10" s="16">
        <v>2055.31</v>
      </c>
      <c r="I10" s="16">
        <v>2358.04</v>
      </c>
      <c r="J10" s="13" t="s">
        <v>28</v>
      </c>
      <c r="K10" t="s">
        <v>10</v>
      </c>
      <c r="L10" t="s">
        <v>11</v>
      </c>
      <c r="M10" t="s">
        <v>15</v>
      </c>
      <c r="N10" t="s">
        <v>13</v>
      </c>
      <c r="O10" t="s">
        <v>14</v>
      </c>
      <c r="P10" s="16">
        <v>2.48</v>
      </c>
      <c r="Q10" s="16">
        <v>1928.18</v>
      </c>
      <c r="R10" s="16">
        <v>3340.56</v>
      </c>
      <c r="S10" s="13" t="s">
        <v>28</v>
      </c>
      <c r="T10" t="s">
        <v>10</v>
      </c>
      <c r="U10" t="s">
        <v>11</v>
      </c>
      <c r="V10" t="s">
        <v>17</v>
      </c>
      <c r="W10" t="s">
        <v>13</v>
      </c>
      <c r="X10" t="s">
        <v>18</v>
      </c>
      <c r="Y10" s="16">
        <v>2.2400000000000002</v>
      </c>
      <c r="Z10" s="16">
        <v>1673.92</v>
      </c>
      <c r="AA10" s="16">
        <v>2751.05</v>
      </c>
      <c r="AB10" s="13" t="s">
        <v>28</v>
      </c>
      <c r="AC10" t="s">
        <v>10</v>
      </c>
      <c r="AD10" t="s">
        <v>11</v>
      </c>
      <c r="AE10" t="s">
        <v>19</v>
      </c>
      <c r="AF10" t="s">
        <v>13</v>
      </c>
      <c r="AG10" t="s">
        <v>22</v>
      </c>
      <c r="AH10" s="16">
        <v>0.35</v>
      </c>
      <c r="AI10" s="16">
        <v>275.45</v>
      </c>
      <c r="AJ10" s="16">
        <v>786.01</v>
      </c>
      <c r="AK10" s="13" t="s">
        <v>28</v>
      </c>
      <c r="AL10" t="s">
        <v>10</v>
      </c>
      <c r="AM10" t="s">
        <v>11</v>
      </c>
      <c r="AN10" t="s">
        <v>21</v>
      </c>
      <c r="AO10" t="s">
        <v>13</v>
      </c>
      <c r="AP10" s="7" t="s">
        <v>20</v>
      </c>
      <c r="AQ10" s="16">
        <v>0.35</v>
      </c>
      <c r="AR10" s="16">
        <v>233.08</v>
      </c>
      <c r="AS10" s="30">
        <v>393.01</v>
      </c>
    </row>
    <row r="11" spans="1:45" x14ac:dyDescent="0.25">
      <c r="A11" s="13" t="s">
        <v>28</v>
      </c>
      <c r="B11" t="s">
        <v>23</v>
      </c>
      <c r="C11" t="s">
        <v>11</v>
      </c>
      <c r="D11" t="s">
        <v>12</v>
      </c>
      <c r="E11" t="s">
        <v>13</v>
      </c>
      <c r="F11" t="s">
        <v>18</v>
      </c>
      <c r="G11" s="14" t="s">
        <v>26</v>
      </c>
      <c r="H11" s="14" t="s">
        <v>26</v>
      </c>
      <c r="I11" s="14" t="s">
        <v>26</v>
      </c>
      <c r="J11" s="13" t="s">
        <v>28</v>
      </c>
      <c r="K11" t="s">
        <v>23</v>
      </c>
      <c r="L11" t="s">
        <v>11</v>
      </c>
      <c r="M11" t="s">
        <v>15</v>
      </c>
      <c r="N11" t="s">
        <v>13</v>
      </c>
      <c r="O11" t="s">
        <v>14</v>
      </c>
      <c r="P11" s="16">
        <v>1.39</v>
      </c>
      <c r="Q11" s="16">
        <v>1059.44</v>
      </c>
      <c r="R11" s="16">
        <v>2161.54</v>
      </c>
      <c r="S11" s="13" t="s">
        <v>28</v>
      </c>
      <c r="T11" t="s">
        <v>23</v>
      </c>
      <c r="U11" t="s">
        <v>11</v>
      </c>
      <c r="V11" t="s">
        <v>17</v>
      </c>
      <c r="W11" t="s">
        <v>13</v>
      </c>
      <c r="X11" t="s">
        <v>20</v>
      </c>
      <c r="Y11" s="14" t="s">
        <v>26</v>
      </c>
      <c r="Z11" s="14" t="s">
        <v>26</v>
      </c>
      <c r="AA11" s="14" t="s">
        <v>26</v>
      </c>
      <c r="AB11" s="13" t="s">
        <v>28</v>
      </c>
      <c r="AC11" t="s">
        <v>23</v>
      </c>
      <c r="AD11" t="s">
        <v>11</v>
      </c>
      <c r="AE11" t="s">
        <v>19</v>
      </c>
      <c r="AF11" t="s">
        <v>13</v>
      </c>
      <c r="AG11" t="s">
        <v>16</v>
      </c>
      <c r="AH11" s="14" t="s">
        <v>26</v>
      </c>
      <c r="AI11" s="14" t="s">
        <v>26</v>
      </c>
      <c r="AJ11" s="14" t="s">
        <v>26</v>
      </c>
      <c r="AK11" s="13" t="s">
        <v>28</v>
      </c>
      <c r="AL11" t="s">
        <v>23</v>
      </c>
      <c r="AM11" t="s">
        <v>11</v>
      </c>
      <c r="AN11" t="s">
        <v>21</v>
      </c>
      <c r="AO11" t="s">
        <v>13</v>
      </c>
      <c r="AP11" s="7" t="s">
        <v>22</v>
      </c>
      <c r="AQ11" s="14" t="s">
        <v>26</v>
      </c>
      <c r="AR11" s="14" t="s">
        <v>26</v>
      </c>
      <c r="AS11" s="18" t="s">
        <v>26</v>
      </c>
    </row>
    <row r="12" spans="1:45" x14ac:dyDescent="0.25">
      <c r="A12" s="13" t="s">
        <v>29</v>
      </c>
      <c r="B12" t="s">
        <v>10</v>
      </c>
      <c r="C12" t="s">
        <v>11</v>
      </c>
      <c r="D12" t="s">
        <v>12</v>
      </c>
      <c r="E12" t="s">
        <v>13</v>
      </c>
      <c r="F12" t="s">
        <v>22</v>
      </c>
      <c r="G12" s="16">
        <v>3.46</v>
      </c>
      <c r="H12" s="16">
        <v>2563.85</v>
      </c>
      <c r="I12" s="16">
        <v>3733.57</v>
      </c>
      <c r="J12" s="13" t="s">
        <v>29</v>
      </c>
      <c r="K12" t="s">
        <v>10</v>
      </c>
      <c r="L12" t="s">
        <v>11</v>
      </c>
      <c r="M12" t="s">
        <v>15</v>
      </c>
      <c r="N12" t="s">
        <v>13</v>
      </c>
      <c r="O12" t="s">
        <v>14</v>
      </c>
      <c r="P12" s="16">
        <v>2.85</v>
      </c>
      <c r="Q12" s="16">
        <v>2161.2600000000002</v>
      </c>
      <c r="R12" s="16">
        <v>3340.56</v>
      </c>
      <c r="S12" s="13" t="s">
        <v>29</v>
      </c>
      <c r="T12" t="s">
        <v>10</v>
      </c>
      <c r="U12" t="s">
        <v>11</v>
      </c>
      <c r="V12" t="s">
        <v>17</v>
      </c>
      <c r="W12" t="s">
        <v>13</v>
      </c>
      <c r="X12" t="s">
        <v>16</v>
      </c>
      <c r="Y12" s="4">
        <v>3.3</v>
      </c>
      <c r="Z12" s="6">
        <v>2537.92</v>
      </c>
      <c r="AA12" s="4">
        <v>3766.37</v>
      </c>
      <c r="AB12" s="13" t="s">
        <v>29</v>
      </c>
      <c r="AC12" t="s">
        <v>10</v>
      </c>
      <c r="AD12" t="s">
        <v>11</v>
      </c>
      <c r="AE12" t="s">
        <v>19</v>
      </c>
      <c r="AF12" t="s">
        <v>13</v>
      </c>
      <c r="AG12" t="s">
        <v>20</v>
      </c>
      <c r="AH12" s="16">
        <v>1.75</v>
      </c>
      <c r="AI12" s="16">
        <v>1334.9</v>
      </c>
      <c r="AJ12" s="16">
        <v>2947.55</v>
      </c>
      <c r="AK12" s="13" t="s">
        <v>29</v>
      </c>
      <c r="AL12" t="s">
        <v>10</v>
      </c>
      <c r="AM12" t="s">
        <v>11</v>
      </c>
      <c r="AN12" t="s">
        <v>21</v>
      </c>
      <c r="AO12" t="s">
        <v>13</v>
      </c>
      <c r="AP12" s="7" t="s">
        <v>18</v>
      </c>
      <c r="AQ12" s="16">
        <v>0.49</v>
      </c>
      <c r="AR12" s="16">
        <v>381.4</v>
      </c>
      <c r="AS12" s="30">
        <v>786.01</v>
      </c>
    </row>
    <row r="13" spans="1:45" x14ac:dyDescent="0.25">
      <c r="A13" s="13" t="s">
        <v>29</v>
      </c>
      <c r="B13" t="s">
        <v>23</v>
      </c>
      <c r="C13" t="s">
        <v>11</v>
      </c>
      <c r="D13" t="s">
        <v>12</v>
      </c>
      <c r="E13" t="s">
        <v>13</v>
      </c>
      <c r="F13" t="s">
        <v>14</v>
      </c>
      <c r="G13" s="16">
        <v>1.31</v>
      </c>
      <c r="H13" s="16">
        <v>1017.06</v>
      </c>
      <c r="I13" s="16">
        <v>1768.53</v>
      </c>
      <c r="J13" s="13" t="s">
        <v>29</v>
      </c>
      <c r="K13" t="s">
        <v>23</v>
      </c>
      <c r="L13" t="s">
        <v>11</v>
      </c>
      <c r="M13" t="s">
        <v>15</v>
      </c>
      <c r="N13" t="s">
        <v>13</v>
      </c>
      <c r="O13" t="s">
        <v>20</v>
      </c>
      <c r="P13" s="16">
        <v>2.2999999999999998</v>
      </c>
      <c r="Q13" s="16">
        <v>1673.92</v>
      </c>
      <c r="R13" s="16">
        <v>2358.04</v>
      </c>
      <c r="S13" s="13" t="s">
        <v>29</v>
      </c>
      <c r="T13" t="s">
        <v>23</v>
      </c>
      <c r="U13" t="s">
        <v>11</v>
      </c>
      <c r="V13" t="s">
        <v>17</v>
      </c>
      <c r="W13" t="s">
        <v>13</v>
      </c>
      <c r="X13" t="s">
        <v>22</v>
      </c>
      <c r="Y13" s="16">
        <v>2.48</v>
      </c>
      <c r="Z13" s="16">
        <v>1801.05</v>
      </c>
      <c r="AA13" s="16">
        <v>3144.06</v>
      </c>
      <c r="AB13" s="13" t="s">
        <v>29</v>
      </c>
      <c r="AC13" t="s">
        <v>23</v>
      </c>
      <c r="AD13" t="s">
        <v>11</v>
      </c>
      <c r="AE13" t="s">
        <v>19</v>
      </c>
      <c r="AF13" t="s">
        <v>13</v>
      </c>
      <c r="AG13" t="s">
        <v>18</v>
      </c>
      <c r="AH13" s="14" t="s">
        <v>26</v>
      </c>
      <c r="AI13" s="14" t="s">
        <v>26</v>
      </c>
      <c r="AJ13" s="14" t="s">
        <v>26</v>
      </c>
      <c r="AK13" s="13" t="s">
        <v>29</v>
      </c>
      <c r="AL13" t="s">
        <v>23</v>
      </c>
      <c r="AM13" t="s">
        <v>11</v>
      </c>
      <c r="AN13" t="s">
        <v>21</v>
      </c>
      <c r="AO13" t="s">
        <v>13</v>
      </c>
      <c r="AP13" s="7" t="s">
        <v>16</v>
      </c>
      <c r="AQ13" s="16">
        <v>0.77</v>
      </c>
      <c r="AR13" s="16">
        <v>529.72</v>
      </c>
      <c r="AS13" s="30">
        <v>786.01</v>
      </c>
    </row>
    <row r="14" spans="1:45" x14ac:dyDescent="0.25">
      <c r="A14" s="13" t="s">
        <v>9</v>
      </c>
      <c r="B14" t="s">
        <v>30</v>
      </c>
      <c r="C14" t="s">
        <v>11</v>
      </c>
      <c r="D14" t="s">
        <v>12</v>
      </c>
      <c r="E14" t="s">
        <v>31</v>
      </c>
      <c r="F14" t="s">
        <v>14</v>
      </c>
      <c r="G14" s="16">
        <v>3.01</v>
      </c>
      <c r="H14" s="16">
        <v>2373.15</v>
      </c>
      <c r="I14" s="16">
        <v>4323.08</v>
      </c>
      <c r="J14" s="13" t="s">
        <v>9</v>
      </c>
      <c r="K14" t="s">
        <v>30</v>
      </c>
      <c r="L14" t="s">
        <v>11</v>
      </c>
      <c r="M14" t="s">
        <v>15</v>
      </c>
      <c r="N14" t="s">
        <v>31</v>
      </c>
      <c r="O14" t="s">
        <v>16</v>
      </c>
      <c r="P14" s="16">
        <v>1.19</v>
      </c>
      <c r="Q14" s="16">
        <v>1080.6300000000001</v>
      </c>
      <c r="R14" s="16">
        <v>2947.55</v>
      </c>
      <c r="S14" s="13" t="s">
        <v>9</v>
      </c>
      <c r="T14" t="s">
        <v>30</v>
      </c>
      <c r="U14" t="s">
        <v>11</v>
      </c>
      <c r="V14" t="s">
        <v>17</v>
      </c>
      <c r="W14" t="s">
        <v>31</v>
      </c>
      <c r="X14" t="s">
        <v>18</v>
      </c>
      <c r="Y14" s="16">
        <v>1.38</v>
      </c>
      <c r="Z14" s="16">
        <v>1144.2</v>
      </c>
      <c r="AA14" s="16">
        <v>1965.03</v>
      </c>
      <c r="AB14" s="13" t="s">
        <v>9</v>
      </c>
      <c r="AC14" t="s">
        <v>30</v>
      </c>
      <c r="AD14" t="s">
        <v>11</v>
      </c>
      <c r="AE14" t="s">
        <v>19</v>
      </c>
      <c r="AF14" t="s">
        <v>31</v>
      </c>
      <c r="AG14" t="s">
        <v>20</v>
      </c>
      <c r="AH14" s="16">
        <v>0.41</v>
      </c>
      <c r="AI14" s="16">
        <v>338.59</v>
      </c>
      <c r="AJ14" s="16">
        <v>1179.02</v>
      </c>
      <c r="AK14" s="13" t="s">
        <v>9</v>
      </c>
      <c r="AL14" t="s">
        <v>30</v>
      </c>
      <c r="AM14" t="s">
        <v>11</v>
      </c>
      <c r="AN14" t="s">
        <v>21</v>
      </c>
      <c r="AO14" t="s">
        <v>31</v>
      </c>
      <c r="AP14" s="7" t="s">
        <v>22</v>
      </c>
      <c r="AQ14" s="16">
        <v>0.19</v>
      </c>
      <c r="AR14" s="16">
        <v>169.51</v>
      </c>
      <c r="AS14" s="30">
        <v>589.51</v>
      </c>
    </row>
    <row r="15" spans="1:45" x14ac:dyDescent="0.25">
      <c r="A15" s="13" t="s">
        <v>9</v>
      </c>
      <c r="B15" t="s">
        <v>32</v>
      </c>
      <c r="C15" t="s">
        <v>11</v>
      </c>
      <c r="D15" t="s">
        <v>12</v>
      </c>
      <c r="E15" t="s">
        <v>31</v>
      </c>
      <c r="F15" t="s">
        <v>18</v>
      </c>
      <c r="G15" s="16">
        <v>1.25</v>
      </c>
      <c r="H15" s="16">
        <v>974.69</v>
      </c>
      <c r="I15" s="16">
        <v>1965.03</v>
      </c>
      <c r="J15" s="13" t="s">
        <v>9</v>
      </c>
      <c r="K15" t="s">
        <v>32</v>
      </c>
      <c r="L15" t="s">
        <v>11</v>
      </c>
      <c r="M15" t="s">
        <v>15</v>
      </c>
      <c r="N15" t="s">
        <v>31</v>
      </c>
      <c r="O15" t="s">
        <v>14</v>
      </c>
      <c r="P15" s="16">
        <v>1.4</v>
      </c>
      <c r="Q15" s="16">
        <v>1271.33</v>
      </c>
      <c r="R15" s="16">
        <v>4323.08</v>
      </c>
      <c r="S15" s="13" t="s">
        <v>9</v>
      </c>
      <c r="T15" t="s">
        <v>32</v>
      </c>
      <c r="U15" t="s">
        <v>11</v>
      </c>
      <c r="V15" t="s">
        <v>17</v>
      </c>
      <c r="W15" t="s">
        <v>31</v>
      </c>
      <c r="X15" t="s">
        <v>22</v>
      </c>
      <c r="Y15" s="16">
        <v>0.69</v>
      </c>
      <c r="Z15" s="16">
        <v>487.34</v>
      </c>
      <c r="AA15" s="16">
        <v>786.01</v>
      </c>
      <c r="AB15" s="13" t="s">
        <v>9</v>
      </c>
      <c r="AC15" t="s">
        <v>32</v>
      </c>
      <c r="AD15" t="s">
        <v>11</v>
      </c>
      <c r="AE15" t="s">
        <v>19</v>
      </c>
      <c r="AF15" t="s">
        <v>31</v>
      </c>
      <c r="AG15" t="s">
        <v>16</v>
      </c>
      <c r="AH15" s="16">
        <v>0.24</v>
      </c>
      <c r="AI15" s="16">
        <v>239.51</v>
      </c>
      <c r="AJ15" s="16">
        <v>1000</v>
      </c>
      <c r="AK15" s="13" t="s">
        <v>9</v>
      </c>
      <c r="AL15" t="s">
        <v>32</v>
      </c>
      <c r="AM15" t="s">
        <v>11</v>
      </c>
      <c r="AN15" t="s">
        <v>21</v>
      </c>
      <c r="AO15" t="s">
        <v>31</v>
      </c>
      <c r="AP15" s="7" t="s">
        <v>20</v>
      </c>
      <c r="AQ15" s="16">
        <v>0.06</v>
      </c>
      <c r="AR15" s="16">
        <v>70</v>
      </c>
      <c r="AS15" s="30">
        <v>606.99</v>
      </c>
    </row>
    <row r="16" spans="1:45" x14ac:dyDescent="0.25">
      <c r="A16" s="13" t="s">
        <v>24</v>
      </c>
      <c r="B16" t="s">
        <v>30</v>
      </c>
      <c r="C16" t="s">
        <v>11</v>
      </c>
      <c r="D16" t="s">
        <v>12</v>
      </c>
      <c r="E16" t="s">
        <v>31</v>
      </c>
      <c r="F16" t="s">
        <v>18</v>
      </c>
      <c r="G16" s="16">
        <v>0.09</v>
      </c>
      <c r="H16" s="16">
        <v>70</v>
      </c>
      <c r="I16" s="16">
        <v>196.5</v>
      </c>
      <c r="J16" s="13" t="s">
        <v>24</v>
      </c>
      <c r="K16" t="s">
        <v>30</v>
      </c>
      <c r="L16" t="s">
        <v>11</v>
      </c>
      <c r="M16" t="s">
        <v>15</v>
      </c>
      <c r="N16" t="s">
        <v>31</v>
      </c>
      <c r="O16" t="s">
        <v>20</v>
      </c>
      <c r="P16" s="16">
        <v>1.42</v>
      </c>
      <c r="Q16" s="16">
        <v>1059.44</v>
      </c>
      <c r="R16" s="16">
        <v>1768.53</v>
      </c>
      <c r="S16" s="13" t="s">
        <v>24</v>
      </c>
      <c r="T16" t="s">
        <v>30</v>
      </c>
      <c r="U16" t="s">
        <v>11</v>
      </c>
      <c r="V16" t="s">
        <v>17</v>
      </c>
      <c r="W16" t="s">
        <v>31</v>
      </c>
      <c r="X16" t="s">
        <v>14</v>
      </c>
      <c r="Y16" s="16">
        <v>0.37</v>
      </c>
      <c r="Z16" s="16">
        <v>317.83</v>
      </c>
      <c r="AA16" s="16">
        <v>1179.02</v>
      </c>
      <c r="AB16" s="13" t="s">
        <v>24</v>
      </c>
      <c r="AC16" t="s">
        <v>30</v>
      </c>
      <c r="AD16" t="s">
        <v>11</v>
      </c>
      <c r="AE16" t="s">
        <v>19</v>
      </c>
      <c r="AF16" t="s">
        <v>31</v>
      </c>
      <c r="AG16" t="s">
        <v>16</v>
      </c>
      <c r="AH16" s="16">
        <v>1.43</v>
      </c>
      <c r="AI16" s="16">
        <v>1144.2</v>
      </c>
      <c r="AJ16" s="16">
        <v>2554.5500000000002</v>
      </c>
      <c r="AK16" s="13" t="s">
        <v>24</v>
      </c>
      <c r="AL16" t="s">
        <v>30</v>
      </c>
      <c r="AM16" t="s">
        <v>11</v>
      </c>
      <c r="AN16" t="s">
        <v>21</v>
      </c>
      <c r="AO16" t="s">
        <v>31</v>
      </c>
      <c r="AP16" s="36" t="s">
        <v>22</v>
      </c>
      <c r="AQ16" s="14" t="s">
        <v>26</v>
      </c>
      <c r="AR16" s="14" t="s">
        <v>26</v>
      </c>
      <c r="AS16" s="18" t="s">
        <v>26</v>
      </c>
    </row>
    <row r="17" spans="1:45" x14ac:dyDescent="0.25">
      <c r="A17" s="13" t="s">
        <v>24</v>
      </c>
      <c r="B17" t="s">
        <v>32</v>
      </c>
      <c r="C17" t="s">
        <v>11</v>
      </c>
      <c r="D17" t="s">
        <v>12</v>
      </c>
      <c r="E17" t="s">
        <v>31</v>
      </c>
      <c r="F17" t="s">
        <v>18</v>
      </c>
      <c r="G17" s="16">
        <v>1.86</v>
      </c>
      <c r="H17" s="16">
        <v>1462.03</v>
      </c>
      <c r="I17" s="16">
        <v>2751.05</v>
      </c>
      <c r="J17" s="13" t="s">
        <v>24</v>
      </c>
      <c r="K17" t="s">
        <v>32</v>
      </c>
      <c r="L17" t="s">
        <v>11</v>
      </c>
      <c r="M17" t="s">
        <v>15</v>
      </c>
      <c r="N17" t="s">
        <v>31</v>
      </c>
      <c r="O17" t="s">
        <v>14</v>
      </c>
      <c r="P17" s="14" t="s">
        <v>26</v>
      </c>
      <c r="Q17" s="14" t="s">
        <v>26</v>
      </c>
      <c r="R17" s="14" t="s">
        <v>26</v>
      </c>
      <c r="S17" s="13" t="s">
        <v>24</v>
      </c>
      <c r="T17" t="s">
        <v>32</v>
      </c>
      <c r="U17" t="s">
        <v>11</v>
      </c>
      <c r="V17" t="s">
        <v>17</v>
      </c>
      <c r="W17" t="s">
        <v>31</v>
      </c>
      <c r="X17" t="s">
        <v>20</v>
      </c>
      <c r="Y17" s="14" t="s">
        <v>26</v>
      </c>
      <c r="Z17" s="14" t="s">
        <v>26</v>
      </c>
      <c r="AA17" s="14" t="s">
        <v>26</v>
      </c>
      <c r="AB17" s="13" t="s">
        <v>24</v>
      </c>
      <c r="AC17" t="s">
        <v>32</v>
      </c>
      <c r="AD17" t="s">
        <v>11</v>
      </c>
      <c r="AE17" t="s">
        <v>19</v>
      </c>
      <c r="AF17" t="s">
        <v>31</v>
      </c>
      <c r="AG17" t="s">
        <v>22</v>
      </c>
      <c r="AH17" s="16">
        <v>0.93</v>
      </c>
      <c r="AI17" s="16">
        <v>805.17</v>
      </c>
      <c r="AJ17" s="16">
        <v>2358.04</v>
      </c>
      <c r="AK17" s="13" t="s">
        <v>24</v>
      </c>
      <c r="AL17" t="s">
        <v>32</v>
      </c>
      <c r="AM17" t="s">
        <v>11</v>
      </c>
      <c r="AN17" t="s">
        <v>21</v>
      </c>
      <c r="AO17" t="s">
        <v>31</v>
      </c>
      <c r="AP17" s="7" t="s">
        <v>16</v>
      </c>
      <c r="AQ17" s="14" t="s">
        <v>26</v>
      </c>
      <c r="AR17" s="14" t="s">
        <v>26</v>
      </c>
      <c r="AS17" s="18" t="s">
        <v>26</v>
      </c>
    </row>
    <row r="18" spans="1:45" x14ac:dyDescent="0.25">
      <c r="A18" s="13" t="s">
        <v>25</v>
      </c>
      <c r="B18" t="s">
        <v>30</v>
      </c>
      <c r="C18" t="s">
        <v>11</v>
      </c>
      <c r="D18" t="s">
        <v>12</v>
      </c>
      <c r="E18" t="s">
        <v>31</v>
      </c>
      <c r="F18" t="s">
        <v>18</v>
      </c>
      <c r="G18" s="16">
        <v>1.61</v>
      </c>
      <c r="H18" s="16">
        <v>1250.1400000000001</v>
      </c>
      <c r="I18" s="16">
        <v>1965.03</v>
      </c>
      <c r="J18" s="13" t="s">
        <v>25</v>
      </c>
      <c r="K18" t="s">
        <v>30</v>
      </c>
      <c r="L18" t="s">
        <v>11</v>
      </c>
      <c r="M18" t="s">
        <v>15</v>
      </c>
      <c r="N18" t="s">
        <v>31</v>
      </c>
      <c r="O18" t="s">
        <v>20</v>
      </c>
      <c r="P18" s="16">
        <v>1.6</v>
      </c>
      <c r="Q18" s="16">
        <v>1228.95</v>
      </c>
      <c r="R18" s="16">
        <v>2161.54</v>
      </c>
      <c r="S18" s="13" t="s">
        <v>25</v>
      </c>
      <c r="T18" t="s">
        <v>30</v>
      </c>
      <c r="U18" t="s">
        <v>11</v>
      </c>
      <c r="V18" t="s">
        <v>17</v>
      </c>
      <c r="W18" t="s">
        <v>31</v>
      </c>
      <c r="X18" t="s">
        <v>14</v>
      </c>
      <c r="Y18" s="16">
        <v>1.29</v>
      </c>
      <c r="Z18" s="16">
        <v>1017.06</v>
      </c>
      <c r="AA18" s="16">
        <v>1768.53</v>
      </c>
      <c r="AB18" s="13" t="s">
        <v>25</v>
      </c>
      <c r="AC18" t="s">
        <v>30</v>
      </c>
      <c r="AD18" t="s">
        <v>11</v>
      </c>
      <c r="AE18" t="s">
        <v>19</v>
      </c>
      <c r="AF18" t="s">
        <v>31</v>
      </c>
      <c r="AG18" t="s">
        <v>16</v>
      </c>
      <c r="AH18" s="16">
        <v>1.01</v>
      </c>
      <c r="AI18" s="16">
        <v>826.36</v>
      </c>
      <c r="AJ18" s="16">
        <v>2161.54</v>
      </c>
      <c r="AK18" s="13" t="s">
        <v>25</v>
      </c>
      <c r="AL18" t="s">
        <v>30</v>
      </c>
      <c r="AM18" t="s">
        <v>11</v>
      </c>
      <c r="AN18" t="s">
        <v>21</v>
      </c>
      <c r="AO18" t="s">
        <v>31</v>
      </c>
      <c r="AP18" s="7" t="s">
        <v>22</v>
      </c>
      <c r="AQ18" s="16">
        <v>0.09</v>
      </c>
      <c r="AR18" s="16">
        <v>84.76</v>
      </c>
      <c r="AS18" s="30">
        <v>589.51</v>
      </c>
    </row>
    <row r="19" spans="1:45" x14ac:dyDescent="0.25">
      <c r="A19" s="13" t="s">
        <v>25</v>
      </c>
      <c r="B19" t="s">
        <v>32</v>
      </c>
      <c r="C19" t="s">
        <v>11</v>
      </c>
      <c r="D19" t="s">
        <v>12</v>
      </c>
      <c r="E19" t="s">
        <v>31</v>
      </c>
      <c r="F19" t="s">
        <v>14</v>
      </c>
      <c r="G19" s="16">
        <v>1.19</v>
      </c>
      <c r="H19" s="16">
        <v>932.31</v>
      </c>
      <c r="I19" s="16">
        <v>2751.05</v>
      </c>
      <c r="J19" s="13" t="s">
        <v>25</v>
      </c>
      <c r="K19" t="s">
        <v>32</v>
      </c>
      <c r="L19" t="s">
        <v>11</v>
      </c>
      <c r="M19" t="s">
        <v>15</v>
      </c>
      <c r="N19" t="s">
        <v>31</v>
      </c>
      <c r="O19" t="s">
        <v>22</v>
      </c>
      <c r="P19" s="16">
        <v>0.54</v>
      </c>
      <c r="Q19" s="16">
        <v>444.97</v>
      </c>
      <c r="R19" s="16">
        <v>1375.52</v>
      </c>
      <c r="S19" s="13" t="s">
        <v>25</v>
      </c>
      <c r="T19" t="s">
        <v>32</v>
      </c>
      <c r="U19" t="s">
        <v>11</v>
      </c>
      <c r="V19" t="s">
        <v>17</v>
      </c>
      <c r="W19" t="s">
        <v>31</v>
      </c>
      <c r="X19" t="s">
        <v>20</v>
      </c>
      <c r="Y19" s="16">
        <v>0.66</v>
      </c>
      <c r="Z19" s="16">
        <v>508.53</v>
      </c>
      <c r="AA19" s="16">
        <v>1375.52</v>
      </c>
      <c r="AB19" s="13" t="s">
        <v>25</v>
      </c>
      <c r="AC19" t="s">
        <v>32</v>
      </c>
      <c r="AD19" t="s">
        <v>11</v>
      </c>
      <c r="AE19" t="s">
        <v>19</v>
      </c>
      <c r="AF19" t="s">
        <v>31</v>
      </c>
      <c r="AG19" t="s">
        <v>16</v>
      </c>
      <c r="AH19" s="16">
        <v>0.28000000000000003</v>
      </c>
      <c r="AI19" s="16">
        <v>211.89</v>
      </c>
      <c r="AJ19" s="16">
        <v>589.51</v>
      </c>
      <c r="AK19" s="13" t="s">
        <v>25</v>
      </c>
      <c r="AL19" t="s">
        <v>32</v>
      </c>
      <c r="AM19" t="s">
        <v>11</v>
      </c>
      <c r="AN19" t="s">
        <v>21</v>
      </c>
      <c r="AO19" t="s">
        <v>31</v>
      </c>
      <c r="AP19" s="7" t="s">
        <v>18</v>
      </c>
      <c r="AQ19" s="16">
        <v>0.08</v>
      </c>
      <c r="AR19" s="16">
        <v>105.94</v>
      </c>
      <c r="AS19" s="30">
        <v>1179.02</v>
      </c>
    </row>
    <row r="20" spans="1:45" x14ac:dyDescent="0.25">
      <c r="A20" s="13" t="s">
        <v>27</v>
      </c>
      <c r="B20" t="s">
        <v>30</v>
      </c>
      <c r="C20" t="s">
        <v>11</v>
      </c>
      <c r="D20" t="s">
        <v>12</v>
      </c>
      <c r="E20" t="s">
        <v>31</v>
      </c>
      <c r="F20" t="s">
        <v>22</v>
      </c>
      <c r="G20" s="16">
        <v>0.53</v>
      </c>
      <c r="H20" s="16">
        <v>423.78</v>
      </c>
      <c r="I20" s="16">
        <v>786.01</v>
      </c>
      <c r="J20" s="13" t="s">
        <v>27</v>
      </c>
      <c r="K20" t="s">
        <v>30</v>
      </c>
      <c r="L20" t="s">
        <v>11</v>
      </c>
      <c r="M20" t="s">
        <v>15</v>
      </c>
      <c r="N20" t="s">
        <v>31</v>
      </c>
      <c r="O20" t="s">
        <v>14</v>
      </c>
      <c r="P20" s="16">
        <v>0.87</v>
      </c>
      <c r="Q20" s="16">
        <v>678.04</v>
      </c>
      <c r="R20" s="16">
        <v>1375.52</v>
      </c>
      <c r="S20" s="13" t="s">
        <v>27</v>
      </c>
      <c r="T20" t="s">
        <v>30</v>
      </c>
      <c r="U20" t="s">
        <v>11</v>
      </c>
      <c r="V20" t="s">
        <v>17</v>
      </c>
      <c r="W20" t="s">
        <v>31</v>
      </c>
      <c r="X20" t="s">
        <v>20</v>
      </c>
      <c r="Y20" s="16">
        <v>0.73</v>
      </c>
      <c r="Z20" s="16">
        <v>593.29</v>
      </c>
      <c r="AA20" s="16">
        <v>1572.03</v>
      </c>
      <c r="AB20" s="13" t="s">
        <v>27</v>
      </c>
      <c r="AC20" t="s">
        <v>30</v>
      </c>
      <c r="AD20" t="s">
        <v>11</v>
      </c>
      <c r="AE20" t="s">
        <v>19</v>
      </c>
      <c r="AF20" t="s">
        <v>31</v>
      </c>
      <c r="AG20" t="s">
        <v>18</v>
      </c>
      <c r="AH20" s="16">
        <v>0.78</v>
      </c>
      <c r="AI20" s="16">
        <v>635.66</v>
      </c>
      <c r="AJ20" s="16">
        <v>1768.53</v>
      </c>
      <c r="AK20" s="13" t="s">
        <v>27</v>
      </c>
      <c r="AL20" t="s">
        <v>30</v>
      </c>
      <c r="AM20" t="s">
        <v>11</v>
      </c>
      <c r="AN20" t="s">
        <v>21</v>
      </c>
      <c r="AO20" t="s">
        <v>31</v>
      </c>
      <c r="AP20" s="7" t="s">
        <v>16</v>
      </c>
      <c r="AQ20" s="16">
        <v>0.05</v>
      </c>
      <c r="AR20" s="16">
        <v>42.38</v>
      </c>
      <c r="AS20" s="30">
        <v>393.01</v>
      </c>
    </row>
    <row r="21" spans="1:45" x14ac:dyDescent="0.25">
      <c r="A21" s="13" t="s">
        <v>27</v>
      </c>
      <c r="B21" t="s">
        <v>32</v>
      </c>
      <c r="C21" t="s">
        <v>11</v>
      </c>
      <c r="D21" t="s">
        <v>12</v>
      </c>
      <c r="E21" t="s">
        <v>31</v>
      </c>
      <c r="F21" t="s">
        <v>22</v>
      </c>
      <c r="G21" s="16">
        <v>0.33</v>
      </c>
      <c r="H21" s="16">
        <v>402.59</v>
      </c>
      <c r="I21" s="16">
        <v>2358.04</v>
      </c>
      <c r="J21" s="13" t="s">
        <v>27</v>
      </c>
      <c r="K21" t="s">
        <v>32</v>
      </c>
      <c r="L21" t="s">
        <v>11</v>
      </c>
      <c r="M21" t="s">
        <v>15</v>
      </c>
      <c r="N21" t="s">
        <v>31</v>
      </c>
      <c r="O21" t="s">
        <v>18</v>
      </c>
      <c r="P21" s="16">
        <v>0.97</v>
      </c>
      <c r="Q21" s="16">
        <v>847.55</v>
      </c>
      <c r="R21" s="16">
        <v>2161.54</v>
      </c>
      <c r="S21" s="13" t="s">
        <v>27</v>
      </c>
      <c r="T21" t="s">
        <v>32</v>
      </c>
      <c r="U21" t="s">
        <v>11</v>
      </c>
      <c r="V21" t="s">
        <v>17</v>
      </c>
      <c r="W21" t="s">
        <v>31</v>
      </c>
      <c r="X21" t="s">
        <v>16</v>
      </c>
      <c r="Y21" s="14">
        <v>1.82</v>
      </c>
      <c r="Z21" s="14">
        <v>1292.52</v>
      </c>
      <c r="AA21" s="14">
        <v>786.01</v>
      </c>
      <c r="AB21" s="13" t="s">
        <v>27</v>
      </c>
      <c r="AC21" t="s">
        <v>32</v>
      </c>
      <c r="AD21" t="s">
        <v>11</v>
      </c>
      <c r="AE21" t="s">
        <v>19</v>
      </c>
      <c r="AF21" t="s">
        <v>31</v>
      </c>
      <c r="AG21" t="s">
        <v>20</v>
      </c>
      <c r="AH21" s="16">
        <v>0.42</v>
      </c>
      <c r="AI21" s="16">
        <v>339.02</v>
      </c>
      <c r="AJ21" s="16">
        <v>589.51</v>
      </c>
      <c r="AK21" s="13" t="s">
        <v>27</v>
      </c>
      <c r="AL21" t="s">
        <v>32</v>
      </c>
      <c r="AM21" t="s">
        <v>11</v>
      </c>
      <c r="AN21" t="s">
        <v>21</v>
      </c>
      <c r="AO21" t="s">
        <v>31</v>
      </c>
      <c r="AP21" s="7" t="s">
        <v>14</v>
      </c>
      <c r="AQ21" s="16">
        <v>0.09</v>
      </c>
      <c r="AR21" s="16">
        <v>84.76</v>
      </c>
      <c r="AS21" s="30">
        <v>393.01</v>
      </c>
    </row>
    <row r="22" spans="1:45" x14ac:dyDescent="0.25">
      <c r="A22" s="13" t="s">
        <v>28</v>
      </c>
      <c r="B22" t="s">
        <v>30</v>
      </c>
      <c r="C22" t="s">
        <v>11</v>
      </c>
      <c r="D22" t="s">
        <v>12</v>
      </c>
      <c r="E22" t="s">
        <v>31</v>
      </c>
      <c r="F22" t="s">
        <v>16</v>
      </c>
      <c r="G22" s="16">
        <v>1.24</v>
      </c>
      <c r="H22" s="16">
        <v>953.5</v>
      </c>
      <c r="I22" s="16">
        <v>2358.04</v>
      </c>
      <c r="J22" s="13" t="s">
        <v>28</v>
      </c>
      <c r="K22" t="s">
        <v>30</v>
      </c>
      <c r="L22" t="s">
        <v>11</v>
      </c>
      <c r="M22" t="s">
        <v>15</v>
      </c>
      <c r="N22" t="s">
        <v>31</v>
      </c>
      <c r="O22" t="s">
        <v>14</v>
      </c>
      <c r="P22" s="16">
        <v>1.36</v>
      </c>
      <c r="Q22" s="16">
        <v>1080.6300000000001</v>
      </c>
      <c r="R22" s="16">
        <v>2554.5500000000002</v>
      </c>
      <c r="S22" s="13" t="s">
        <v>28</v>
      </c>
      <c r="T22" t="s">
        <v>30</v>
      </c>
      <c r="U22" t="s">
        <v>11</v>
      </c>
      <c r="V22" t="s">
        <v>17</v>
      </c>
      <c r="W22" t="s">
        <v>31</v>
      </c>
      <c r="X22" t="s">
        <v>18</v>
      </c>
      <c r="Y22" s="16">
        <v>0.75</v>
      </c>
      <c r="Z22" s="16">
        <v>572.1</v>
      </c>
      <c r="AA22" s="16">
        <v>786.01</v>
      </c>
      <c r="AB22" s="13" t="s">
        <v>28</v>
      </c>
      <c r="AC22" t="s">
        <v>30</v>
      </c>
      <c r="AD22" t="s">
        <v>11</v>
      </c>
      <c r="AE22" t="s">
        <v>19</v>
      </c>
      <c r="AF22" t="s">
        <v>31</v>
      </c>
      <c r="AG22" t="s">
        <v>22</v>
      </c>
      <c r="AH22" s="16">
        <v>0.44</v>
      </c>
      <c r="AI22" s="16">
        <v>339.02</v>
      </c>
      <c r="AJ22" s="16">
        <v>786.01</v>
      </c>
      <c r="AK22" s="13" t="s">
        <v>28</v>
      </c>
      <c r="AL22" t="s">
        <v>30</v>
      </c>
      <c r="AM22" t="s">
        <v>11</v>
      </c>
      <c r="AN22" t="s">
        <v>21</v>
      </c>
      <c r="AO22" t="s">
        <v>31</v>
      </c>
      <c r="AP22" s="7" t="s">
        <v>20</v>
      </c>
      <c r="AQ22" s="14" t="s">
        <v>26</v>
      </c>
      <c r="AR22" s="14" t="s">
        <v>26</v>
      </c>
      <c r="AS22" s="18" t="s">
        <v>26</v>
      </c>
    </row>
    <row r="23" spans="1:45" x14ac:dyDescent="0.25">
      <c r="A23" s="13" t="s">
        <v>28</v>
      </c>
      <c r="B23" t="s">
        <v>32</v>
      </c>
      <c r="C23" t="s">
        <v>11</v>
      </c>
      <c r="D23" t="s">
        <v>12</v>
      </c>
      <c r="E23" t="s">
        <v>31</v>
      </c>
      <c r="F23" t="s">
        <v>18</v>
      </c>
      <c r="G23" s="16">
        <v>0.34</v>
      </c>
      <c r="H23" s="16">
        <v>317.83</v>
      </c>
      <c r="I23" s="16">
        <v>982.52</v>
      </c>
      <c r="J23" s="13" t="s">
        <v>28</v>
      </c>
      <c r="K23" t="s">
        <v>32</v>
      </c>
      <c r="L23" t="s">
        <v>11</v>
      </c>
      <c r="M23" t="s">
        <v>15</v>
      </c>
      <c r="N23" t="s">
        <v>31</v>
      </c>
      <c r="O23" t="s">
        <v>14</v>
      </c>
      <c r="P23" s="16">
        <v>1.96</v>
      </c>
      <c r="Q23" s="16">
        <v>1525.59</v>
      </c>
      <c r="R23" s="16">
        <v>3537.06</v>
      </c>
      <c r="S23" s="13" t="s">
        <v>28</v>
      </c>
      <c r="T23" t="s">
        <v>32</v>
      </c>
      <c r="U23" t="s">
        <v>11</v>
      </c>
      <c r="V23" t="s">
        <v>17</v>
      </c>
      <c r="W23" t="s">
        <v>31</v>
      </c>
      <c r="X23" t="s">
        <v>20</v>
      </c>
      <c r="Y23" s="16">
        <v>1.06</v>
      </c>
      <c r="Z23" s="16">
        <v>762.8</v>
      </c>
      <c r="AA23" s="16">
        <v>982.52</v>
      </c>
      <c r="AB23" s="13" t="s">
        <v>28</v>
      </c>
      <c r="AC23" t="s">
        <v>32</v>
      </c>
      <c r="AD23" t="s">
        <v>11</v>
      </c>
      <c r="AE23" t="s">
        <v>19</v>
      </c>
      <c r="AF23" t="s">
        <v>31</v>
      </c>
      <c r="AG23" t="s">
        <v>16</v>
      </c>
      <c r="AH23" s="14" t="s">
        <v>26</v>
      </c>
      <c r="AI23" s="14" t="s">
        <v>26</v>
      </c>
      <c r="AJ23" s="14" t="s">
        <v>26</v>
      </c>
      <c r="AK23" s="13" t="s">
        <v>28</v>
      </c>
      <c r="AL23" t="s">
        <v>32</v>
      </c>
      <c r="AM23" t="s">
        <v>11</v>
      </c>
      <c r="AN23" t="s">
        <v>21</v>
      </c>
      <c r="AO23" t="s">
        <v>31</v>
      </c>
      <c r="AP23" s="36" t="s">
        <v>22</v>
      </c>
      <c r="AQ23" s="14" t="s">
        <v>26</v>
      </c>
      <c r="AR23" s="14" t="s">
        <v>26</v>
      </c>
      <c r="AS23" s="18" t="s">
        <v>26</v>
      </c>
    </row>
    <row r="24" spans="1:45" x14ac:dyDescent="0.25">
      <c r="A24" s="13" t="s">
        <v>29</v>
      </c>
      <c r="B24" t="s">
        <v>30</v>
      </c>
      <c r="C24" t="s">
        <v>11</v>
      </c>
      <c r="D24" t="s">
        <v>12</v>
      </c>
      <c r="E24" t="s">
        <v>31</v>
      </c>
      <c r="F24" t="s">
        <v>22</v>
      </c>
      <c r="G24" s="16">
        <v>0.37</v>
      </c>
      <c r="H24" s="16">
        <v>296.64</v>
      </c>
      <c r="I24" s="16">
        <v>589.51</v>
      </c>
      <c r="J24" s="13" t="s">
        <v>29</v>
      </c>
      <c r="K24" t="s">
        <v>30</v>
      </c>
      <c r="L24" t="s">
        <v>11</v>
      </c>
      <c r="M24" t="s">
        <v>15</v>
      </c>
      <c r="N24" t="s">
        <v>31</v>
      </c>
      <c r="O24" t="s">
        <v>14</v>
      </c>
      <c r="P24" s="16">
        <v>2.08</v>
      </c>
      <c r="Q24" s="16">
        <v>1673.92</v>
      </c>
      <c r="R24" s="16">
        <v>3930.07</v>
      </c>
      <c r="S24" s="13" t="s">
        <v>29</v>
      </c>
      <c r="T24" t="s">
        <v>30</v>
      </c>
      <c r="U24" t="s">
        <v>11</v>
      </c>
      <c r="V24" t="s">
        <v>17</v>
      </c>
      <c r="W24" t="s">
        <v>31</v>
      </c>
      <c r="X24" t="s">
        <v>16</v>
      </c>
      <c r="Y24" s="16">
        <v>1.7</v>
      </c>
      <c r="Z24" s="16">
        <v>1250.1400000000001</v>
      </c>
      <c r="AA24" s="16">
        <v>2161.54</v>
      </c>
      <c r="AB24" s="13" t="s">
        <v>29</v>
      </c>
      <c r="AC24" t="s">
        <v>30</v>
      </c>
      <c r="AD24" t="s">
        <v>11</v>
      </c>
      <c r="AE24" t="s">
        <v>19</v>
      </c>
      <c r="AF24" t="s">
        <v>31</v>
      </c>
      <c r="AG24" t="s">
        <v>20</v>
      </c>
      <c r="AH24" s="16">
        <v>0.77</v>
      </c>
      <c r="AI24" s="16">
        <v>593.29</v>
      </c>
      <c r="AJ24" s="16">
        <v>1375.52</v>
      </c>
      <c r="AK24" s="13" t="s">
        <v>29</v>
      </c>
      <c r="AL24" t="s">
        <v>30</v>
      </c>
      <c r="AM24" t="s">
        <v>11</v>
      </c>
      <c r="AN24" t="s">
        <v>21</v>
      </c>
      <c r="AO24" t="s">
        <v>31</v>
      </c>
      <c r="AP24" s="7" t="s">
        <v>18</v>
      </c>
      <c r="AQ24" s="16">
        <v>0.18</v>
      </c>
      <c r="AR24" s="16">
        <v>169.51</v>
      </c>
      <c r="AS24" s="30">
        <v>589.51</v>
      </c>
    </row>
    <row r="25" spans="1:45" x14ac:dyDescent="0.25">
      <c r="A25" s="13" t="s">
        <v>29</v>
      </c>
      <c r="B25" t="s">
        <v>32</v>
      </c>
      <c r="C25" t="s">
        <v>11</v>
      </c>
      <c r="D25" t="s">
        <v>12</v>
      </c>
      <c r="E25" t="s">
        <v>31</v>
      </c>
      <c r="F25" t="s">
        <v>14</v>
      </c>
      <c r="G25" s="16">
        <v>2.16</v>
      </c>
      <c r="H25" s="16">
        <v>1673.92</v>
      </c>
      <c r="I25" s="16">
        <v>3733.57</v>
      </c>
      <c r="J25" s="13" t="s">
        <v>29</v>
      </c>
      <c r="K25" t="s">
        <v>32</v>
      </c>
      <c r="L25" t="s">
        <v>11</v>
      </c>
      <c r="M25" t="s">
        <v>15</v>
      </c>
      <c r="N25" t="s">
        <v>31</v>
      </c>
      <c r="O25" t="s">
        <v>20</v>
      </c>
      <c r="P25" s="16">
        <v>2.19</v>
      </c>
      <c r="Q25" s="16">
        <v>1716.29</v>
      </c>
      <c r="R25" s="16">
        <v>3733.57</v>
      </c>
      <c r="S25" s="13" t="s">
        <v>29</v>
      </c>
      <c r="T25" t="s">
        <v>32</v>
      </c>
      <c r="U25" t="s">
        <v>11</v>
      </c>
      <c r="V25" t="s">
        <v>17</v>
      </c>
      <c r="W25" t="s">
        <v>31</v>
      </c>
      <c r="X25" t="s">
        <v>22</v>
      </c>
      <c r="Y25" s="16">
        <v>2.73</v>
      </c>
      <c r="Z25" s="16">
        <v>1991.75</v>
      </c>
      <c r="AA25" s="16">
        <v>2947.55</v>
      </c>
      <c r="AB25" s="13" t="s">
        <v>29</v>
      </c>
      <c r="AC25" t="s">
        <v>32</v>
      </c>
      <c r="AD25" t="s">
        <v>11</v>
      </c>
      <c r="AE25" t="s">
        <v>19</v>
      </c>
      <c r="AF25" t="s">
        <v>31</v>
      </c>
      <c r="AG25" t="s">
        <v>18</v>
      </c>
      <c r="AH25" s="14" t="s">
        <v>26</v>
      </c>
      <c r="AI25" s="14" t="s">
        <v>26</v>
      </c>
      <c r="AJ25" s="14" t="s">
        <v>26</v>
      </c>
      <c r="AK25" s="13" t="s">
        <v>29</v>
      </c>
      <c r="AL25" t="s">
        <v>32</v>
      </c>
      <c r="AM25" t="s">
        <v>11</v>
      </c>
      <c r="AN25" t="s">
        <v>21</v>
      </c>
      <c r="AO25" t="s">
        <v>31</v>
      </c>
      <c r="AP25" s="7" t="s">
        <v>16</v>
      </c>
      <c r="AQ25" s="16">
        <v>0.19</v>
      </c>
      <c r="AR25" s="16">
        <v>135</v>
      </c>
      <c r="AS25" s="30">
        <v>393.01</v>
      </c>
    </row>
    <row r="26" spans="1:45" s="3" customFormat="1" x14ac:dyDescent="0.25">
      <c r="A26" s="32"/>
      <c r="J26" s="32"/>
      <c r="S26" s="32"/>
      <c r="AB26" s="32"/>
      <c r="AD26" s="39"/>
      <c r="AE26" s="40"/>
      <c r="AF26" s="41"/>
      <c r="AG26" s="40"/>
      <c r="AK26" s="32"/>
      <c r="AS26" s="33"/>
    </row>
    <row r="27" spans="1:45" x14ac:dyDescent="0.25">
      <c r="A27" s="13" t="s">
        <v>33</v>
      </c>
      <c r="B27" t="s">
        <v>10</v>
      </c>
      <c r="C27" t="s">
        <v>34</v>
      </c>
      <c r="D27" t="s">
        <v>12</v>
      </c>
      <c r="E27" t="s">
        <v>13</v>
      </c>
      <c r="F27" s="7" t="s">
        <v>14</v>
      </c>
      <c r="G27" s="16">
        <v>1.45</v>
      </c>
      <c r="H27" s="16">
        <v>1059.44</v>
      </c>
      <c r="I27" s="16">
        <v>2358.04</v>
      </c>
      <c r="J27" s="13" t="s">
        <v>33</v>
      </c>
      <c r="K27" t="s">
        <v>10</v>
      </c>
      <c r="L27" t="s">
        <v>34</v>
      </c>
      <c r="M27" t="s">
        <v>15</v>
      </c>
      <c r="N27" t="s">
        <v>13</v>
      </c>
      <c r="O27" s="7" t="s">
        <v>16</v>
      </c>
      <c r="P27" s="16">
        <v>1.72</v>
      </c>
      <c r="Q27" s="16">
        <v>1313.71</v>
      </c>
      <c r="R27" s="16">
        <v>2751.05</v>
      </c>
      <c r="S27" s="13" t="s">
        <v>33</v>
      </c>
      <c r="T27" t="s">
        <v>10</v>
      </c>
      <c r="U27" t="s">
        <v>34</v>
      </c>
      <c r="V27" t="s">
        <v>17</v>
      </c>
      <c r="W27" t="s">
        <v>13</v>
      </c>
      <c r="X27" s="7" t="s">
        <v>18</v>
      </c>
      <c r="Y27" s="14">
        <v>0.73</v>
      </c>
      <c r="Z27" s="14">
        <v>580.1</v>
      </c>
      <c r="AA27" s="14">
        <v>1572.03</v>
      </c>
      <c r="AB27" s="13" t="s">
        <v>33</v>
      </c>
      <c r="AC27" t="s">
        <v>10</v>
      </c>
      <c r="AD27" t="s">
        <v>34</v>
      </c>
      <c r="AE27" t="s">
        <v>19</v>
      </c>
      <c r="AF27" t="s">
        <v>13</v>
      </c>
      <c r="AG27" s="7" t="s">
        <v>20</v>
      </c>
      <c r="AH27" s="14" t="s">
        <v>26</v>
      </c>
      <c r="AI27" s="14" t="s">
        <v>26</v>
      </c>
      <c r="AJ27" s="14" t="s">
        <v>26</v>
      </c>
      <c r="AK27" s="13" t="s">
        <v>33</v>
      </c>
      <c r="AL27" t="s">
        <v>10</v>
      </c>
      <c r="AM27" t="s">
        <v>34</v>
      </c>
      <c r="AN27" t="s">
        <v>21</v>
      </c>
      <c r="AO27" t="s">
        <v>13</v>
      </c>
      <c r="AP27" s="7" t="s">
        <v>22</v>
      </c>
      <c r="AQ27" s="16">
        <v>0.31</v>
      </c>
      <c r="AR27" s="16">
        <v>233.08</v>
      </c>
      <c r="AS27" s="30">
        <v>786.01</v>
      </c>
    </row>
    <row r="28" spans="1:45" x14ac:dyDescent="0.25">
      <c r="A28" s="13" t="s">
        <v>33</v>
      </c>
      <c r="B28" t="s">
        <v>23</v>
      </c>
      <c r="C28" t="s">
        <v>34</v>
      </c>
      <c r="D28" t="s">
        <v>12</v>
      </c>
      <c r="E28" t="s">
        <v>13</v>
      </c>
      <c r="F28" t="s">
        <v>18</v>
      </c>
      <c r="G28" s="16">
        <v>2.94</v>
      </c>
      <c r="H28" s="16">
        <v>2330.77</v>
      </c>
      <c r="I28" s="16">
        <v>4519.58</v>
      </c>
      <c r="J28" s="13" t="s">
        <v>33</v>
      </c>
      <c r="K28" t="s">
        <v>23</v>
      </c>
      <c r="L28" t="s">
        <v>34</v>
      </c>
      <c r="M28" t="s">
        <v>15</v>
      </c>
      <c r="N28" t="s">
        <v>13</v>
      </c>
      <c r="O28" t="s">
        <v>14</v>
      </c>
      <c r="P28" s="14">
        <v>2.58</v>
      </c>
      <c r="Q28" s="14">
        <v>2076.5</v>
      </c>
      <c r="R28" s="14">
        <v>3552.06</v>
      </c>
      <c r="S28" s="13" t="s">
        <v>33</v>
      </c>
      <c r="T28" t="s">
        <v>23</v>
      </c>
      <c r="U28" t="s">
        <v>34</v>
      </c>
      <c r="V28" t="s">
        <v>17</v>
      </c>
      <c r="W28" t="s">
        <v>13</v>
      </c>
      <c r="X28" t="s">
        <v>22</v>
      </c>
      <c r="Y28" s="16">
        <v>1.23</v>
      </c>
      <c r="Z28" s="16">
        <v>911.12</v>
      </c>
      <c r="AA28" s="16">
        <v>1768.53</v>
      </c>
      <c r="AB28" s="13" t="s">
        <v>33</v>
      </c>
      <c r="AC28" t="s">
        <v>23</v>
      </c>
      <c r="AD28" t="s">
        <v>34</v>
      </c>
      <c r="AE28" t="s">
        <v>19</v>
      </c>
      <c r="AF28" t="s">
        <v>13</v>
      </c>
      <c r="AG28" t="s">
        <v>16</v>
      </c>
      <c r="AH28" s="16">
        <v>0.56999999999999995</v>
      </c>
      <c r="AI28" s="16">
        <v>487.34</v>
      </c>
      <c r="AJ28" s="16">
        <v>1768.53</v>
      </c>
      <c r="AK28" s="13" t="s">
        <v>33</v>
      </c>
      <c r="AL28" t="s">
        <v>23</v>
      </c>
      <c r="AM28" t="s">
        <v>34</v>
      </c>
      <c r="AN28" t="s">
        <v>21</v>
      </c>
      <c r="AO28" t="s">
        <v>13</v>
      </c>
      <c r="AP28" t="s">
        <v>20</v>
      </c>
      <c r="AQ28" s="16">
        <v>0.28999999999999998</v>
      </c>
      <c r="AR28" s="16">
        <v>233.08</v>
      </c>
      <c r="AS28" s="30">
        <v>786.01</v>
      </c>
    </row>
    <row r="29" spans="1:45" x14ac:dyDescent="0.25">
      <c r="A29" s="13" t="s">
        <v>35</v>
      </c>
      <c r="B29" t="s">
        <v>10</v>
      </c>
      <c r="C29" t="s">
        <v>34</v>
      </c>
      <c r="D29" t="s">
        <v>12</v>
      </c>
      <c r="E29" t="s">
        <v>13</v>
      </c>
      <c r="F29" t="s">
        <v>16</v>
      </c>
      <c r="G29" s="16">
        <v>0.54</v>
      </c>
      <c r="H29" s="16">
        <v>444.97</v>
      </c>
      <c r="I29" s="16">
        <v>1375.52</v>
      </c>
      <c r="J29" s="13" t="s">
        <v>35</v>
      </c>
      <c r="K29" t="s">
        <v>10</v>
      </c>
      <c r="L29" t="s">
        <v>34</v>
      </c>
      <c r="M29" t="s">
        <v>15</v>
      </c>
      <c r="N29" t="s">
        <v>13</v>
      </c>
      <c r="O29" t="s">
        <v>22</v>
      </c>
      <c r="P29" s="16">
        <v>0.65</v>
      </c>
      <c r="Q29" s="16">
        <v>508.53</v>
      </c>
      <c r="R29" s="16">
        <v>1375.52</v>
      </c>
      <c r="S29" s="13" t="s">
        <v>35</v>
      </c>
      <c r="T29" t="s">
        <v>10</v>
      </c>
      <c r="U29" t="s">
        <v>34</v>
      </c>
      <c r="V29" t="s">
        <v>17</v>
      </c>
      <c r="W29" t="s">
        <v>13</v>
      </c>
      <c r="X29" t="s">
        <v>20</v>
      </c>
      <c r="Y29" s="14">
        <v>0.75</v>
      </c>
      <c r="Z29" s="14">
        <v>769.61</v>
      </c>
      <c r="AA29" s="14">
        <v>4897.59</v>
      </c>
      <c r="AB29" s="13" t="s">
        <v>35</v>
      </c>
      <c r="AC29" t="s">
        <v>10</v>
      </c>
      <c r="AD29" t="s">
        <v>34</v>
      </c>
      <c r="AE29" t="s">
        <v>19</v>
      </c>
      <c r="AF29" t="s">
        <v>13</v>
      </c>
      <c r="AG29" t="s">
        <v>14</v>
      </c>
      <c r="AH29" s="14">
        <v>0.47</v>
      </c>
      <c r="AI29" s="14">
        <v>491.15</v>
      </c>
      <c r="AJ29" s="14">
        <v>3891.07</v>
      </c>
      <c r="AK29" s="13" t="s">
        <v>35</v>
      </c>
      <c r="AL29" t="s">
        <v>10</v>
      </c>
      <c r="AM29" t="s">
        <v>34</v>
      </c>
      <c r="AN29" t="s">
        <v>21</v>
      </c>
      <c r="AO29" t="s">
        <v>13</v>
      </c>
      <c r="AP29" t="s">
        <v>18</v>
      </c>
      <c r="AQ29" s="14" t="s">
        <v>26</v>
      </c>
      <c r="AR29" s="14" t="s">
        <v>26</v>
      </c>
      <c r="AS29" s="18" t="s">
        <v>26</v>
      </c>
    </row>
    <row r="30" spans="1:45" x14ac:dyDescent="0.25">
      <c r="A30" s="13" t="s">
        <v>35</v>
      </c>
      <c r="B30" t="s">
        <v>23</v>
      </c>
      <c r="C30" t="s">
        <v>34</v>
      </c>
      <c r="D30" t="s">
        <v>12</v>
      </c>
      <c r="E30" t="s">
        <v>13</v>
      </c>
      <c r="F30" t="s">
        <v>18</v>
      </c>
      <c r="G30" s="16">
        <v>1.77</v>
      </c>
      <c r="H30" s="16">
        <v>1334.9</v>
      </c>
      <c r="I30" s="16">
        <v>2947.55</v>
      </c>
      <c r="J30" s="13" t="s">
        <v>35</v>
      </c>
      <c r="K30" t="s">
        <v>23</v>
      </c>
      <c r="L30" t="s">
        <v>34</v>
      </c>
      <c r="M30" t="s">
        <v>15</v>
      </c>
      <c r="N30" t="s">
        <v>13</v>
      </c>
      <c r="O30" t="s">
        <v>14</v>
      </c>
      <c r="P30" s="14">
        <v>1.39</v>
      </c>
      <c r="Q30" s="14">
        <v>1111.82</v>
      </c>
      <c r="R30" s="14">
        <v>2947.55</v>
      </c>
      <c r="S30" s="13" t="s">
        <v>35</v>
      </c>
      <c r="T30" t="s">
        <v>23</v>
      </c>
      <c r="U30" t="s">
        <v>34</v>
      </c>
      <c r="V30" t="s">
        <v>17</v>
      </c>
      <c r="W30" t="s">
        <v>13</v>
      </c>
      <c r="X30" t="s">
        <v>20</v>
      </c>
      <c r="Y30" s="16">
        <v>1.36</v>
      </c>
      <c r="Z30" s="16">
        <v>1080.6300000000001</v>
      </c>
      <c r="AA30" s="16">
        <v>2947.55</v>
      </c>
      <c r="AB30" s="13" t="s">
        <v>35</v>
      </c>
      <c r="AC30" t="s">
        <v>23</v>
      </c>
      <c r="AD30" t="s">
        <v>34</v>
      </c>
      <c r="AE30" t="s">
        <v>19</v>
      </c>
      <c r="AF30" t="s">
        <v>13</v>
      </c>
      <c r="AG30" t="s">
        <v>22</v>
      </c>
      <c r="AH30" s="16">
        <v>0.95</v>
      </c>
      <c r="AI30" s="16">
        <v>805.17</v>
      </c>
      <c r="AJ30" s="16">
        <v>2751.05</v>
      </c>
      <c r="AK30" s="13" t="s">
        <v>35</v>
      </c>
      <c r="AL30" t="s">
        <v>23</v>
      </c>
      <c r="AM30" t="s">
        <v>34</v>
      </c>
      <c r="AN30" t="s">
        <v>21</v>
      </c>
      <c r="AO30" t="s">
        <v>13</v>
      </c>
      <c r="AP30" t="s">
        <v>16</v>
      </c>
      <c r="AQ30" s="14">
        <v>2</v>
      </c>
      <c r="AR30" s="14">
        <v>1440.84</v>
      </c>
      <c r="AS30" s="18">
        <v>2358.04</v>
      </c>
    </row>
    <row r="31" spans="1:45" x14ac:dyDescent="0.25">
      <c r="A31" s="13" t="s">
        <v>36</v>
      </c>
      <c r="B31" t="s">
        <v>10</v>
      </c>
      <c r="C31" t="s">
        <v>34</v>
      </c>
      <c r="D31" t="s">
        <v>12</v>
      </c>
      <c r="E31" t="s">
        <v>13</v>
      </c>
      <c r="F31" t="s">
        <v>18</v>
      </c>
      <c r="G31" s="16">
        <v>2.87</v>
      </c>
      <c r="H31" s="16">
        <v>2182.4499999999998</v>
      </c>
      <c r="I31" s="16">
        <v>5109.09</v>
      </c>
      <c r="J31" s="13" t="s">
        <v>36</v>
      </c>
      <c r="K31" t="s">
        <v>10</v>
      </c>
      <c r="L31" t="s">
        <v>34</v>
      </c>
      <c r="M31" t="s">
        <v>15</v>
      </c>
      <c r="N31" t="s">
        <v>13</v>
      </c>
      <c r="O31" t="s">
        <v>20</v>
      </c>
      <c r="P31" s="16">
        <v>1.04</v>
      </c>
      <c r="Q31" s="16">
        <v>783.99</v>
      </c>
      <c r="R31" s="16">
        <v>2161.54</v>
      </c>
      <c r="S31" s="13" t="s">
        <v>36</v>
      </c>
      <c r="T31" t="s">
        <v>10</v>
      </c>
      <c r="U31" t="s">
        <v>34</v>
      </c>
      <c r="V31" t="s">
        <v>17</v>
      </c>
      <c r="W31" t="s">
        <v>13</v>
      </c>
      <c r="X31" t="s">
        <v>14</v>
      </c>
      <c r="Y31" s="14">
        <v>1.33</v>
      </c>
      <c r="Z31" s="14">
        <v>1053.44</v>
      </c>
      <c r="AA31" s="14">
        <v>2947.55</v>
      </c>
      <c r="AB31" s="13" t="s">
        <v>36</v>
      </c>
      <c r="AC31" t="s">
        <v>10</v>
      </c>
      <c r="AD31" t="s">
        <v>34</v>
      </c>
      <c r="AE31" t="s">
        <v>19</v>
      </c>
      <c r="AF31" t="s">
        <v>13</v>
      </c>
      <c r="AG31" t="s">
        <v>16</v>
      </c>
      <c r="AH31" s="16">
        <v>0.56000000000000005</v>
      </c>
      <c r="AI31" s="16">
        <v>423.78</v>
      </c>
      <c r="AJ31" s="16">
        <v>1375.52</v>
      </c>
      <c r="AK31" s="13" t="s">
        <v>36</v>
      </c>
      <c r="AL31" t="s">
        <v>10</v>
      </c>
      <c r="AM31" t="s">
        <v>34</v>
      </c>
      <c r="AN31" t="s">
        <v>21</v>
      </c>
      <c r="AO31" t="s">
        <v>13</v>
      </c>
      <c r="AP31" t="s">
        <v>22</v>
      </c>
      <c r="AQ31" s="14">
        <v>0.13</v>
      </c>
      <c r="AR31" s="14">
        <v>105.94</v>
      </c>
      <c r="AS31" s="18">
        <v>982.52</v>
      </c>
    </row>
    <row r="32" spans="1:45" x14ac:dyDescent="0.25">
      <c r="A32" s="13" t="s">
        <v>36</v>
      </c>
      <c r="B32" t="s">
        <v>23</v>
      </c>
      <c r="C32" t="s">
        <v>34</v>
      </c>
      <c r="D32" t="s">
        <v>12</v>
      </c>
      <c r="E32" t="s">
        <v>13</v>
      </c>
      <c r="F32" t="s">
        <v>14</v>
      </c>
      <c r="G32" s="14">
        <v>1.58</v>
      </c>
      <c r="H32" s="14">
        <v>1334.9</v>
      </c>
      <c r="I32" s="14">
        <v>2744.05</v>
      </c>
      <c r="J32" s="13" t="s">
        <v>36</v>
      </c>
      <c r="K32" t="s">
        <v>23</v>
      </c>
      <c r="L32" t="s">
        <v>34</v>
      </c>
      <c r="M32" t="s">
        <v>15</v>
      </c>
      <c r="N32" t="s">
        <v>13</v>
      </c>
      <c r="O32" t="s">
        <v>22</v>
      </c>
      <c r="P32" s="16">
        <v>1.67</v>
      </c>
      <c r="Q32" s="16">
        <v>1462.03</v>
      </c>
      <c r="R32" s="16">
        <v>4716.08</v>
      </c>
      <c r="S32" s="13" t="s">
        <v>36</v>
      </c>
      <c r="T32" t="s">
        <v>23</v>
      </c>
      <c r="U32" t="s">
        <v>34</v>
      </c>
      <c r="V32" t="s">
        <v>17</v>
      </c>
      <c r="W32" t="s">
        <v>13</v>
      </c>
      <c r="X32" t="s">
        <v>20</v>
      </c>
      <c r="Y32" s="16">
        <v>1.33</v>
      </c>
      <c r="Z32" s="16">
        <v>1165.3800000000001</v>
      </c>
      <c r="AA32" s="16">
        <v>3733.57</v>
      </c>
      <c r="AB32" s="13" t="s">
        <v>36</v>
      </c>
      <c r="AC32" t="s">
        <v>23</v>
      </c>
      <c r="AD32" t="s">
        <v>34</v>
      </c>
      <c r="AE32" t="s">
        <v>19</v>
      </c>
      <c r="AF32" t="s">
        <v>13</v>
      </c>
      <c r="AG32" t="s">
        <v>16</v>
      </c>
      <c r="AH32" s="14" t="s">
        <v>26</v>
      </c>
      <c r="AI32" s="14" t="s">
        <v>26</v>
      </c>
      <c r="AJ32" s="14" t="s">
        <v>26</v>
      </c>
      <c r="AK32" s="13" t="s">
        <v>36</v>
      </c>
      <c r="AL32" t="s">
        <v>23</v>
      </c>
      <c r="AM32" t="s">
        <v>34</v>
      </c>
      <c r="AN32" t="s">
        <v>21</v>
      </c>
      <c r="AO32" t="s">
        <v>13</v>
      </c>
      <c r="AP32" t="s">
        <v>18</v>
      </c>
      <c r="AQ32" s="14">
        <v>0.5</v>
      </c>
      <c r="AR32" s="14">
        <v>423.78</v>
      </c>
      <c r="AS32" s="18">
        <v>1375.52</v>
      </c>
    </row>
    <row r="33" spans="1:45" x14ac:dyDescent="0.25">
      <c r="A33" s="13" t="s">
        <v>37</v>
      </c>
      <c r="B33" t="s">
        <v>10</v>
      </c>
      <c r="C33" t="s">
        <v>34</v>
      </c>
      <c r="D33" t="s">
        <v>12</v>
      </c>
      <c r="E33" t="s">
        <v>13</v>
      </c>
      <c r="F33" t="s">
        <v>22</v>
      </c>
      <c r="G33" s="16">
        <v>0.38</v>
      </c>
      <c r="H33" s="16">
        <v>275.45</v>
      </c>
      <c r="I33" s="16">
        <v>982.52</v>
      </c>
      <c r="J33" s="13" t="s">
        <v>37</v>
      </c>
      <c r="K33" t="s">
        <v>10</v>
      </c>
      <c r="L33" t="s">
        <v>34</v>
      </c>
      <c r="M33" t="s">
        <v>15</v>
      </c>
      <c r="N33" t="s">
        <v>13</v>
      </c>
      <c r="O33" t="s">
        <v>14</v>
      </c>
      <c r="P33" s="14">
        <v>0.44</v>
      </c>
      <c r="Q33" s="14">
        <v>360.21</v>
      </c>
      <c r="R33" s="14">
        <v>1387.52</v>
      </c>
      <c r="S33" s="13" t="s">
        <v>37</v>
      </c>
      <c r="T33" t="s">
        <v>10</v>
      </c>
      <c r="U33" t="s">
        <v>34</v>
      </c>
      <c r="V33" t="s">
        <v>17</v>
      </c>
      <c r="W33" t="s">
        <v>13</v>
      </c>
      <c r="X33" t="s">
        <v>20</v>
      </c>
      <c r="Y33" s="16">
        <v>0.45</v>
      </c>
      <c r="Z33" s="16">
        <v>339.02</v>
      </c>
      <c r="AA33" s="16">
        <v>1179.02</v>
      </c>
      <c r="AB33" s="13" t="s">
        <v>37</v>
      </c>
      <c r="AC33" t="s">
        <v>10</v>
      </c>
      <c r="AD33" t="s">
        <v>34</v>
      </c>
      <c r="AE33" t="s">
        <v>19</v>
      </c>
      <c r="AF33" t="s">
        <v>13</v>
      </c>
      <c r="AG33" t="s">
        <v>18</v>
      </c>
      <c r="AH33" s="14" t="s">
        <v>26</v>
      </c>
      <c r="AI33" s="14" t="s">
        <v>26</v>
      </c>
      <c r="AJ33" s="14" t="s">
        <v>26</v>
      </c>
      <c r="AK33" s="13" t="s">
        <v>37</v>
      </c>
      <c r="AL33" t="s">
        <v>10</v>
      </c>
      <c r="AM33" t="s">
        <v>34</v>
      </c>
      <c r="AN33" t="s">
        <v>21</v>
      </c>
      <c r="AO33" t="s">
        <v>13</v>
      </c>
      <c r="AP33" t="s">
        <v>16</v>
      </c>
      <c r="AQ33" s="14">
        <v>0.5</v>
      </c>
      <c r="AR33" s="14">
        <v>381.4</v>
      </c>
      <c r="AS33" s="18">
        <v>1375.52</v>
      </c>
    </row>
    <row r="34" spans="1:45" x14ac:dyDescent="0.25">
      <c r="A34" s="13" t="s">
        <v>37</v>
      </c>
      <c r="B34" t="s">
        <v>23</v>
      </c>
      <c r="C34" t="s">
        <v>34</v>
      </c>
      <c r="D34" t="s">
        <v>12</v>
      </c>
      <c r="E34" t="s">
        <v>13</v>
      </c>
      <c r="F34" t="s">
        <v>22</v>
      </c>
      <c r="G34" s="16">
        <v>1.38</v>
      </c>
      <c r="H34" s="16">
        <v>1186.57</v>
      </c>
      <c r="I34" s="16">
        <v>4126.57</v>
      </c>
      <c r="J34" s="13" t="s">
        <v>37</v>
      </c>
      <c r="K34" t="s">
        <v>23</v>
      </c>
      <c r="L34" t="s">
        <v>34</v>
      </c>
      <c r="M34" t="s">
        <v>15</v>
      </c>
      <c r="N34" t="s">
        <v>13</v>
      </c>
      <c r="O34" t="s">
        <v>18</v>
      </c>
      <c r="P34" s="16">
        <v>2.16</v>
      </c>
      <c r="Q34" s="16">
        <v>1631.54</v>
      </c>
      <c r="R34" s="16">
        <v>4126.57</v>
      </c>
      <c r="S34" s="13" t="s">
        <v>37</v>
      </c>
      <c r="T34" t="s">
        <v>23</v>
      </c>
      <c r="U34" t="s">
        <v>34</v>
      </c>
      <c r="V34" t="s">
        <v>17</v>
      </c>
      <c r="W34" t="s">
        <v>13</v>
      </c>
      <c r="X34" t="s">
        <v>22</v>
      </c>
      <c r="Y34" s="16">
        <v>0.83</v>
      </c>
      <c r="Z34" s="16">
        <v>635.66</v>
      </c>
      <c r="AA34" s="16">
        <v>1572.03</v>
      </c>
      <c r="AB34" s="13" t="s">
        <v>37</v>
      </c>
      <c r="AC34" t="s">
        <v>23</v>
      </c>
      <c r="AD34" t="s">
        <v>34</v>
      </c>
      <c r="AE34" t="s">
        <v>19</v>
      </c>
      <c r="AF34" t="s">
        <v>13</v>
      </c>
      <c r="AG34" t="s">
        <v>20</v>
      </c>
      <c r="AH34" s="16">
        <v>0.66</v>
      </c>
      <c r="AI34" s="16">
        <v>529.72</v>
      </c>
      <c r="AJ34" s="16">
        <v>1768.53</v>
      </c>
      <c r="AK34" s="13" t="s">
        <v>37</v>
      </c>
      <c r="AL34" t="s">
        <v>23</v>
      </c>
      <c r="AM34" t="s">
        <v>34</v>
      </c>
      <c r="AN34" t="s">
        <v>21</v>
      </c>
      <c r="AO34" t="s">
        <v>13</v>
      </c>
      <c r="AP34" t="s">
        <v>14</v>
      </c>
      <c r="AQ34" s="14">
        <v>0.65</v>
      </c>
      <c r="AR34" s="14">
        <v>508.53</v>
      </c>
      <c r="AS34" s="18">
        <v>1572.03</v>
      </c>
    </row>
    <row r="35" spans="1:45" x14ac:dyDescent="0.25">
      <c r="A35" s="13" t="s">
        <v>38</v>
      </c>
      <c r="B35" t="s">
        <v>10</v>
      </c>
      <c r="C35" t="s">
        <v>34</v>
      </c>
      <c r="D35" t="s">
        <v>12</v>
      </c>
      <c r="E35" t="s">
        <v>13</v>
      </c>
      <c r="F35" t="s">
        <v>16</v>
      </c>
      <c r="G35" s="16">
        <v>1.74</v>
      </c>
      <c r="H35" s="16">
        <v>1356.08</v>
      </c>
      <c r="I35" s="16">
        <v>3537.06</v>
      </c>
      <c r="J35" s="13" t="s">
        <v>38</v>
      </c>
      <c r="K35" t="s">
        <v>10</v>
      </c>
      <c r="L35" t="s">
        <v>34</v>
      </c>
      <c r="M35" t="s">
        <v>15</v>
      </c>
      <c r="N35" t="s">
        <v>13</v>
      </c>
      <c r="O35" t="s">
        <v>14</v>
      </c>
      <c r="P35" s="14">
        <v>1.65</v>
      </c>
      <c r="Q35" s="14">
        <v>1346.71</v>
      </c>
      <c r="R35" s="14">
        <v>3342.56</v>
      </c>
      <c r="S35" s="13" t="s">
        <v>38</v>
      </c>
      <c r="T35" t="s">
        <v>10</v>
      </c>
      <c r="U35" t="s">
        <v>34</v>
      </c>
      <c r="V35" t="s">
        <v>17</v>
      </c>
      <c r="W35" t="s">
        <v>13</v>
      </c>
      <c r="X35" t="s">
        <v>18</v>
      </c>
      <c r="Y35" s="16">
        <v>1.66</v>
      </c>
      <c r="Z35" s="16">
        <v>1228.95</v>
      </c>
      <c r="AA35" s="16">
        <v>2751.05</v>
      </c>
      <c r="AB35" s="13" t="s">
        <v>38</v>
      </c>
      <c r="AC35" t="s">
        <v>10</v>
      </c>
      <c r="AD35" t="s">
        <v>34</v>
      </c>
      <c r="AE35" t="s">
        <v>19</v>
      </c>
      <c r="AF35" t="s">
        <v>13</v>
      </c>
      <c r="AG35" t="s">
        <v>22</v>
      </c>
      <c r="AH35" s="16">
        <v>0.92</v>
      </c>
      <c r="AI35" s="16">
        <v>741.61</v>
      </c>
      <c r="AJ35" s="16">
        <v>2358.04</v>
      </c>
      <c r="AK35" s="13" t="s">
        <v>38</v>
      </c>
      <c r="AL35" t="s">
        <v>10</v>
      </c>
      <c r="AM35" t="s">
        <v>34</v>
      </c>
      <c r="AN35" t="s">
        <v>21</v>
      </c>
      <c r="AO35" t="s">
        <v>13</v>
      </c>
      <c r="AP35" t="s">
        <v>20</v>
      </c>
      <c r="AQ35" s="14">
        <v>0.63</v>
      </c>
      <c r="AR35" s="14">
        <v>487.34</v>
      </c>
      <c r="AS35" s="18">
        <v>1375.52</v>
      </c>
    </row>
    <row r="36" spans="1:45" x14ac:dyDescent="0.25">
      <c r="A36" s="13" t="s">
        <v>38</v>
      </c>
      <c r="B36" t="s">
        <v>23</v>
      </c>
      <c r="C36" t="s">
        <v>34</v>
      </c>
      <c r="D36" t="s">
        <v>12</v>
      </c>
      <c r="E36" t="s">
        <v>13</v>
      </c>
      <c r="F36" t="s">
        <v>18</v>
      </c>
      <c r="G36" s="16">
        <v>2.13</v>
      </c>
      <c r="H36" s="16">
        <v>1610.35</v>
      </c>
      <c r="I36" s="16">
        <v>2751.05</v>
      </c>
      <c r="J36" s="13" t="s">
        <v>38</v>
      </c>
      <c r="K36" t="s">
        <v>23</v>
      </c>
      <c r="L36" t="s">
        <v>34</v>
      </c>
      <c r="M36" t="s">
        <v>15</v>
      </c>
      <c r="N36" t="s">
        <v>13</v>
      </c>
      <c r="O36" t="s">
        <v>14</v>
      </c>
      <c r="P36" s="16">
        <v>2.16</v>
      </c>
      <c r="Q36" s="16">
        <v>1673.92</v>
      </c>
      <c r="R36" s="16">
        <v>3537.06</v>
      </c>
      <c r="S36" s="13" t="s">
        <v>38</v>
      </c>
      <c r="T36" t="s">
        <v>23</v>
      </c>
      <c r="U36" t="s">
        <v>34</v>
      </c>
      <c r="V36" t="s">
        <v>17</v>
      </c>
      <c r="W36" t="s">
        <v>13</v>
      </c>
      <c r="X36" t="s">
        <v>20</v>
      </c>
      <c r="Y36" s="16">
        <v>2.17</v>
      </c>
      <c r="Z36" s="16">
        <v>1610.35</v>
      </c>
      <c r="AA36" s="16">
        <v>2554.5500000000002</v>
      </c>
      <c r="AB36" s="13" t="s">
        <v>38</v>
      </c>
      <c r="AC36" t="s">
        <v>23</v>
      </c>
      <c r="AD36" t="s">
        <v>34</v>
      </c>
      <c r="AE36" t="s">
        <v>19</v>
      </c>
      <c r="AF36" t="s">
        <v>13</v>
      </c>
      <c r="AG36" t="s">
        <v>16</v>
      </c>
      <c r="AH36" s="14" t="s">
        <v>26</v>
      </c>
      <c r="AI36" s="14" t="s">
        <v>26</v>
      </c>
      <c r="AJ36" s="14" t="s">
        <v>26</v>
      </c>
      <c r="AK36" s="13" t="s">
        <v>38</v>
      </c>
      <c r="AL36" t="s">
        <v>23</v>
      </c>
      <c r="AM36" t="s">
        <v>34</v>
      </c>
      <c r="AN36" t="s">
        <v>21</v>
      </c>
      <c r="AO36" t="s">
        <v>13</v>
      </c>
      <c r="AP36" t="s">
        <v>22</v>
      </c>
      <c r="AQ36" s="14" t="s">
        <v>26</v>
      </c>
      <c r="AR36" s="14" t="s">
        <v>26</v>
      </c>
      <c r="AS36" s="18" t="s">
        <v>26</v>
      </c>
    </row>
    <row r="37" spans="1:45" x14ac:dyDescent="0.25">
      <c r="A37" s="13" t="s">
        <v>39</v>
      </c>
      <c r="B37" t="s">
        <v>10</v>
      </c>
      <c r="C37" t="s">
        <v>34</v>
      </c>
      <c r="D37" t="s">
        <v>12</v>
      </c>
      <c r="E37" t="s">
        <v>13</v>
      </c>
      <c r="F37" t="s">
        <v>22</v>
      </c>
      <c r="G37" s="14" t="s">
        <v>26</v>
      </c>
      <c r="H37" s="14" t="s">
        <v>26</v>
      </c>
      <c r="I37" s="14" t="s">
        <v>26</v>
      </c>
      <c r="J37" s="13" t="s">
        <v>39</v>
      </c>
      <c r="K37" t="s">
        <v>10</v>
      </c>
      <c r="L37" t="s">
        <v>34</v>
      </c>
      <c r="M37" t="s">
        <v>15</v>
      </c>
      <c r="N37" t="s">
        <v>13</v>
      </c>
      <c r="O37" t="s">
        <v>14</v>
      </c>
      <c r="P37" s="14">
        <v>2.25</v>
      </c>
      <c r="Q37" s="14">
        <v>1888.8</v>
      </c>
      <c r="R37" s="14">
        <v>4718.08</v>
      </c>
      <c r="S37" s="13" t="s">
        <v>39</v>
      </c>
      <c r="T37" t="s">
        <v>10</v>
      </c>
      <c r="U37" t="s">
        <v>34</v>
      </c>
      <c r="V37" t="s">
        <v>17</v>
      </c>
      <c r="W37" t="s">
        <v>13</v>
      </c>
      <c r="X37" t="s">
        <v>16</v>
      </c>
      <c r="Y37" s="16">
        <v>2.44</v>
      </c>
      <c r="Z37" s="16">
        <v>1695.1</v>
      </c>
      <c r="AA37" s="16">
        <v>2751.05</v>
      </c>
      <c r="AB37" s="13" t="s">
        <v>39</v>
      </c>
      <c r="AC37" t="s">
        <v>10</v>
      </c>
      <c r="AD37" t="s">
        <v>34</v>
      </c>
      <c r="AE37" t="s">
        <v>19</v>
      </c>
      <c r="AF37" t="s">
        <v>13</v>
      </c>
      <c r="AG37" t="s">
        <v>20</v>
      </c>
      <c r="AH37" s="14" t="s">
        <v>26</v>
      </c>
      <c r="AI37" s="14" t="s">
        <v>26</v>
      </c>
      <c r="AJ37" s="14" t="s">
        <v>26</v>
      </c>
      <c r="AK37" s="13" t="s">
        <v>39</v>
      </c>
      <c r="AL37" t="s">
        <v>10</v>
      </c>
      <c r="AM37" t="s">
        <v>34</v>
      </c>
      <c r="AN37" t="s">
        <v>21</v>
      </c>
      <c r="AO37" t="s">
        <v>13</v>
      </c>
      <c r="AP37" t="s">
        <v>18</v>
      </c>
      <c r="AQ37" s="16">
        <v>1.1000000000000001</v>
      </c>
      <c r="AR37" s="16">
        <v>783.99</v>
      </c>
      <c r="AS37" s="30">
        <v>1375.52</v>
      </c>
    </row>
    <row r="38" spans="1:45" x14ac:dyDescent="0.25">
      <c r="A38" s="13" t="s">
        <v>39</v>
      </c>
      <c r="B38" t="s">
        <v>23</v>
      </c>
      <c r="C38" t="s">
        <v>34</v>
      </c>
      <c r="D38" t="s">
        <v>12</v>
      </c>
      <c r="E38" t="s">
        <v>13</v>
      </c>
      <c r="F38" t="s">
        <v>14</v>
      </c>
      <c r="G38" s="16">
        <v>1.76</v>
      </c>
      <c r="H38" s="16">
        <v>1398.46</v>
      </c>
      <c r="I38" s="16">
        <v>4126.57</v>
      </c>
      <c r="J38" s="13" t="s">
        <v>39</v>
      </c>
      <c r="K38" t="s">
        <v>23</v>
      </c>
      <c r="L38" t="s">
        <v>34</v>
      </c>
      <c r="M38" t="s">
        <v>15</v>
      </c>
      <c r="N38" t="s">
        <v>13</v>
      </c>
      <c r="O38" t="s">
        <v>20</v>
      </c>
      <c r="P38" s="16">
        <v>2.0299999999999998</v>
      </c>
      <c r="Q38" s="16">
        <v>1567.97</v>
      </c>
      <c r="R38" s="16">
        <v>4126.57</v>
      </c>
      <c r="S38" s="13" t="s">
        <v>39</v>
      </c>
      <c r="T38" t="s">
        <v>23</v>
      </c>
      <c r="U38" t="s">
        <v>34</v>
      </c>
      <c r="V38" t="s">
        <v>17</v>
      </c>
      <c r="W38" t="s">
        <v>13</v>
      </c>
      <c r="X38" t="s">
        <v>22</v>
      </c>
      <c r="Y38" s="16">
        <v>0.75</v>
      </c>
      <c r="Z38" s="16">
        <v>550.91</v>
      </c>
      <c r="AA38" s="16">
        <v>982.52</v>
      </c>
      <c r="AB38" s="13" t="s">
        <v>39</v>
      </c>
      <c r="AC38" t="s">
        <v>23</v>
      </c>
      <c r="AD38" t="s">
        <v>34</v>
      </c>
      <c r="AE38" t="s">
        <v>19</v>
      </c>
      <c r="AF38" t="s">
        <v>13</v>
      </c>
      <c r="AG38" t="s">
        <v>18</v>
      </c>
      <c r="AH38" s="14" t="s">
        <v>26</v>
      </c>
      <c r="AI38" s="14" t="s">
        <v>26</v>
      </c>
      <c r="AJ38" s="14" t="s">
        <v>26</v>
      </c>
      <c r="AK38" s="13" t="s">
        <v>39</v>
      </c>
      <c r="AL38" t="s">
        <v>23</v>
      </c>
      <c r="AM38" t="s">
        <v>34</v>
      </c>
      <c r="AN38" t="s">
        <v>21</v>
      </c>
      <c r="AO38" t="s">
        <v>13</v>
      </c>
      <c r="AP38" t="s">
        <v>16</v>
      </c>
      <c r="AQ38" s="16">
        <v>0.83</v>
      </c>
      <c r="AR38" s="16">
        <v>614.48</v>
      </c>
      <c r="AS38" s="30">
        <v>1179.02</v>
      </c>
    </row>
    <row r="39" spans="1:45" x14ac:dyDescent="0.25">
      <c r="A39" s="13" t="s">
        <v>33</v>
      </c>
      <c r="B39" t="s">
        <v>30</v>
      </c>
      <c r="C39" t="s">
        <v>34</v>
      </c>
      <c r="D39" t="s">
        <v>12</v>
      </c>
      <c r="E39" t="s">
        <v>31</v>
      </c>
      <c r="F39" t="s">
        <v>14</v>
      </c>
      <c r="G39" s="14">
        <v>3.12</v>
      </c>
      <c r="H39" s="14">
        <v>2401.15</v>
      </c>
      <c r="I39" s="14">
        <v>4519.58</v>
      </c>
      <c r="J39" s="13" t="s">
        <v>33</v>
      </c>
      <c r="K39" t="s">
        <v>30</v>
      </c>
      <c r="L39" t="s">
        <v>34</v>
      </c>
      <c r="M39" t="s">
        <v>15</v>
      </c>
      <c r="N39" t="s">
        <v>31</v>
      </c>
      <c r="O39" t="s">
        <v>16</v>
      </c>
      <c r="P39" s="16">
        <v>0.59</v>
      </c>
      <c r="Q39" s="16">
        <v>529.72</v>
      </c>
      <c r="R39" s="16">
        <v>2161.54</v>
      </c>
      <c r="S39" s="13" t="s">
        <v>33</v>
      </c>
      <c r="T39" t="s">
        <v>30</v>
      </c>
      <c r="U39" t="s">
        <v>34</v>
      </c>
      <c r="V39" t="s">
        <v>17</v>
      </c>
      <c r="W39" t="s">
        <v>31</v>
      </c>
      <c r="X39" t="s">
        <v>18</v>
      </c>
      <c r="Y39" s="14">
        <v>1.51</v>
      </c>
      <c r="Z39" s="14">
        <v>1207.76</v>
      </c>
      <c r="AA39" s="14">
        <v>2358.04</v>
      </c>
      <c r="AB39" s="13" t="s">
        <v>33</v>
      </c>
      <c r="AC39" t="s">
        <v>30</v>
      </c>
      <c r="AD39" t="s">
        <v>34</v>
      </c>
      <c r="AE39" t="s">
        <v>19</v>
      </c>
      <c r="AF39" t="s">
        <v>31</v>
      </c>
      <c r="AG39" t="s">
        <v>20</v>
      </c>
      <c r="AH39" s="16">
        <v>1.43</v>
      </c>
      <c r="AI39" s="16">
        <v>1144.2</v>
      </c>
      <c r="AJ39" s="16">
        <v>3144.06</v>
      </c>
      <c r="AK39" s="13" t="s">
        <v>33</v>
      </c>
      <c r="AL39" t="s">
        <v>30</v>
      </c>
      <c r="AM39" t="s">
        <v>34</v>
      </c>
      <c r="AN39" t="s">
        <v>21</v>
      </c>
      <c r="AO39" t="s">
        <v>31</v>
      </c>
      <c r="AP39" t="s">
        <v>22</v>
      </c>
      <c r="AQ39" s="14" t="s">
        <v>26</v>
      </c>
      <c r="AR39" s="14" t="s">
        <v>26</v>
      </c>
      <c r="AS39" s="18" t="s">
        <v>26</v>
      </c>
    </row>
    <row r="40" spans="1:45" x14ac:dyDescent="0.25">
      <c r="A40" s="13" t="s">
        <v>33</v>
      </c>
      <c r="B40" t="s">
        <v>32</v>
      </c>
      <c r="C40" t="s">
        <v>34</v>
      </c>
      <c r="D40" t="s">
        <v>12</v>
      </c>
      <c r="E40" t="s">
        <v>31</v>
      </c>
      <c r="F40" t="s">
        <v>18</v>
      </c>
      <c r="G40" s="16">
        <v>2.19</v>
      </c>
      <c r="H40" s="16">
        <v>1631.54</v>
      </c>
      <c r="I40" s="16">
        <v>2751.05</v>
      </c>
      <c r="J40" s="13" t="s">
        <v>33</v>
      </c>
      <c r="K40" t="s">
        <v>32</v>
      </c>
      <c r="L40" t="s">
        <v>34</v>
      </c>
      <c r="M40" t="s">
        <v>15</v>
      </c>
      <c r="N40" t="s">
        <v>31</v>
      </c>
      <c r="O40" t="s">
        <v>14</v>
      </c>
      <c r="P40" s="14">
        <v>0.99</v>
      </c>
      <c r="Q40" s="14">
        <v>762.8</v>
      </c>
      <c r="R40" s="14">
        <v>1179.02</v>
      </c>
      <c r="S40" s="13" t="s">
        <v>33</v>
      </c>
      <c r="T40" t="s">
        <v>32</v>
      </c>
      <c r="U40" t="s">
        <v>34</v>
      </c>
      <c r="V40" t="s">
        <v>17</v>
      </c>
      <c r="W40" t="s">
        <v>31</v>
      </c>
      <c r="X40" t="s">
        <v>22</v>
      </c>
      <c r="Y40" s="16">
        <v>1.63</v>
      </c>
      <c r="Z40" s="16">
        <v>1228.95</v>
      </c>
      <c r="AA40" s="16">
        <v>1965.03</v>
      </c>
      <c r="AB40" s="13" t="s">
        <v>33</v>
      </c>
      <c r="AC40" t="s">
        <v>32</v>
      </c>
      <c r="AD40" t="s">
        <v>34</v>
      </c>
      <c r="AE40" t="s">
        <v>19</v>
      </c>
      <c r="AF40" t="s">
        <v>31</v>
      </c>
      <c r="AG40" t="s">
        <v>16</v>
      </c>
      <c r="AH40" s="16">
        <v>0.52</v>
      </c>
      <c r="AI40" s="16">
        <v>402.59</v>
      </c>
      <c r="AJ40" s="16">
        <v>786.01</v>
      </c>
      <c r="AK40" s="13" t="s">
        <v>33</v>
      </c>
      <c r="AL40" t="s">
        <v>32</v>
      </c>
      <c r="AM40" t="s">
        <v>34</v>
      </c>
      <c r="AN40" t="s">
        <v>21</v>
      </c>
      <c r="AO40" t="s">
        <v>31</v>
      </c>
      <c r="AP40" t="s">
        <v>20</v>
      </c>
      <c r="AQ40" s="14" t="s">
        <v>26</v>
      </c>
      <c r="AR40" s="14" t="s">
        <v>26</v>
      </c>
      <c r="AS40" s="18" t="s">
        <v>26</v>
      </c>
    </row>
    <row r="41" spans="1:45" x14ac:dyDescent="0.25">
      <c r="A41" s="13" t="s">
        <v>35</v>
      </c>
      <c r="B41" t="s">
        <v>30</v>
      </c>
      <c r="C41" t="s">
        <v>34</v>
      </c>
      <c r="D41" t="s">
        <v>12</v>
      </c>
      <c r="E41" t="s">
        <v>31</v>
      </c>
      <c r="F41" t="s">
        <v>16</v>
      </c>
      <c r="G41" s="16">
        <v>1.5</v>
      </c>
      <c r="H41" s="16">
        <v>1186.57</v>
      </c>
      <c r="I41" s="16">
        <v>2751.05</v>
      </c>
      <c r="J41" s="13" t="s">
        <v>35</v>
      </c>
      <c r="K41" t="s">
        <v>30</v>
      </c>
      <c r="L41" t="s">
        <v>34</v>
      </c>
      <c r="M41" t="s">
        <v>15</v>
      </c>
      <c r="N41" t="s">
        <v>31</v>
      </c>
      <c r="O41" t="s">
        <v>22</v>
      </c>
      <c r="P41" s="16">
        <v>0.39</v>
      </c>
      <c r="Q41" s="16">
        <v>317.83</v>
      </c>
      <c r="R41" s="16">
        <v>1179.02</v>
      </c>
      <c r="S41" s="13" t="s">
        <v>35</v>
      </c>
      <c r="T41" t="s">
        <v>30</v>
      </c>
      <c r="U41" t="s">
        <v>34</v>
      </c>
      <c r="V41" t="s">
        <v>17</v>
      </c>
      <c r="W41" t="s">
        <v>31</v>
      </c>
      <c r="X41" t="s">
        <v>20</v>
      </c>
      <c r="Y41" s="16">
        <v>0.28999999999999998</v>
      </c>
      <c r="Z41" s="16">
        <v>275.45</v>
      </c>
      <c r="AA41" s="16">
        <v>1572.03</v>
      </c>
      <c r="AB41" s="13" t="s">
        <v>35</v>
      </c>
      <c r="AC41" t="s">
        <v>30</v>
      </c>
      <c r="AD41" t="s">
        <v>34</v>
      </c>
      <c r="AE41" t="s">
        <v>19</v>
      </c>
      <c r="AF41" t="s">
        <v>31</v>
      </c>
      <c r="AG41" t="s">
        <v>14</v>
      </c>
      <c r="AH41" s="16">
        <v>0.43</v>
      </c>
      <c r="AI41" s="16">
        <v>360.21</v>
      </c>
      <c r="AJ41" s="16">
        <v>1375.52</v>
      </c>
      <c r="AK41" s="13" t="s">
        <v>35</v>
      </c>
      <c r="AL41" t="s">
        <v>30</v>
      </c>
      <c r="AM41" t="s">
        <v>34</v>
      </c>
      <c r="AN41" t="s">
        <v>21</v>
      </c>
      <c r="AO41" t="s">
        <v>31</v>
      </c>
      <c r="AP41" t="s">
        <v>18</v>
      </c>
      <c r="AQ41" s="14" t="s">
        <v>26</v>
      </c>
      <c r="AR41" s="14" t="s">
        <v>26</v>
      </c>
      <c r="AS41" s="18" t="s">
        <v>26</v>
      </c>
    </row>
    <row r="42" spans="1:45" x14ac:dyDescent="0.25">
      <c r="A42" s="13" t="s">
        <v>35</v>
      </c>
      <c r="B42" t="s">
        <v>32</v>
      </c>
      <c r="C42" t="s">
        <v>34</v>
      </c>
      <c r="D42" t="s">
        <v>12</v>
      </c>
      <c r="E42" t="s">
        <v>31</v>
      </c>
      <c r="F42" t="s">
        <v>18</v>
      </c>
      <c r="G42" s="16">
        <v>2.1</v>
      </c>
      <c r="H42" s="16">
        <v>1673.92</v>
      </c>
      <c r="I42" s="16">
        <v>4126.57</v>
      </c>
      <c r="J42" s="13" t="s">
        <v>35</v>
      </c>
      <c r="K42" t="s">
        <v>32</v>
      </c>
      <c r="L42" t="s">
        <v>34</v>
      </c>
      <c r="M42" t="s">
        <v>15</v>
      </c>
      <c r="N42" t="s">
        <v>31</v>
      </c>
      <c r="O42" t="s">
        <v>14</v>
      </c>
      <c r="P42" s="14">
        <v>0.91</v>
      </c>
      <c r="Q42" s="14">
        <v>721.23</v>
      </c>
      <c r="R42" s="14">
        <v>1980.03</v>
      </c>
      <c r="S42" s="13" t="s">
        <v>35</v>
      </c>
      <c r="T42" t="s">
        <v>32</v>
      </c>
      <c r="U42" t="s">
        <v>34</v>
      </c>
      <c r="V42" t="s">
        <v>17</v>
      </c>
      <c r="W42" t="s">
        <v>31</v>
      </c>
      <c r="X42" t="s">
        <v>20</v>
      </c>
      <c r="Y42" s="16">
        <v>0.34</v>
      </c>
      <c r="Z42" s="16">
        <v>296.64</v>
      </c>
      <c r="AA42" s="16">
        <v>1375.52</v>
      </c>
      <c r="AB42" s="13" t="s">
        <v>35</v>
      </c>
      <c r="AC42" t="s">
        <v>32</v>
      </c>
      <c r="AD42" t="s">
        <v>34</v>
      </c>
      <c r="AE42" t="s">
        <v>19</v>
      </c>
      <c r="AF42" t="s">
        <v>31</v>
      </c>
      <c r="AG42" t="s">
        <v>22</v>
      </c>
      <c r="AH42" s="16">
        <v>0.45</v>
      </c>
      <c r="AI42" s="16">
        <v>381.4</v>
      </c>
      <c r="AJ42" s="16">
        <v>1375.52</v>
      </c>
      <c r="AK42" s="13" t="s">
        <v>35</v>
      </c>
      <c r="AL42" t="s">
        <v>32</v>
      </c>
      <c r="AM42" t="s">
        <v>34</v>
      </c>
      <c r="AN42" t="s">
        <v>21</v>
      </c>
      <c r="AO42" t="s">
        <v>31</v>
      </c>
      <c r="AP42" t="s">
        <v>16</v>
      </c>
      <c r="AQ42" s="14">
        <v>7.0000000000000007E-2</v>
      </c>
      <c r="AR42" s="14">
        <v>65.569999999999993</v>
      </c>
      <c r="AS42" s="18">
        <v>350.01</v>
      </c>
    </row>
    <row r="43" spans="1:45" x14ac:dyDescent="0.25">
      <c r="A43" s="13" t="s">
        <v>36</v>
      </c>
      <c r="B43" t="s">
        <v>30</v>
      </c>
      <c r="C43" t="s">
        <v>34</v>
      </c>
      <c r="D43" t="s">
        <v>12</v>
      </c>
      <c r="E43" t="s">
        <v>31</v>
      </c>
      <c r="F43" t="s">
        <v>18</v>
      </c>
      <c r="G43" s="16">
        <v>1.25</v>
      </c>
      <c r="H43" s="16">
        <v>1080.6300000000001</v>
      </c>
      <c r="I43" s="16">
        <v>3537.06</v>
      </c>
      <c r="J43" s="13" t="s">
        <v>36</v>
      </c>
      <c r="K43" t="s">
        <v>30</v>
      </c>
      <c r="L43" t="s">
        <v>34</v>
      </c>
      <c r="M43" t="s">
        <v>15</v>
      </c>
      <c r="N43" t="s">
        <v>31</v>
      </c>
      <c r="O43" t="s">
        <v>20</v>
      </c>
      <c r="P43" s="16">
        <v>1.55</v>
      </c>
      <c r="Q43" s="16">
        <v>1250.1400000000001</v>
      </c>
      <c r="R43" s="16">
        <v>3340.56</v>
      </c>
      <c r="S43" s="13" t="s">
        <v>36</v>
      </c>
      <c r="T43" t="s">
        <v>30</v>
      </c>
      <c r="U43" t="s">
        <v>34</v>
      </c>
      <c r="V43" t="s">
        <v>17</v>
      </c>
      <c r="W43" t="s">
        <v>31</v>
      </c>
      <c r="X43" t="s">
        <v>14</v>
      </c>
      <c r="Y43" s="14">
        <v>0.79</v>
      </c>
      <c r="Z43" s="14">
        <v>659.66</v>
      </c>
      <c r="AA43" s="14">
        <v>1965.03</v>
      </c>
      <c r="AB43" s="13" t="s">
        <v>36</v>
      </c>
      <c r="AC43" t="s">
        <v>30</v>
      </c>
      <c r="AD43" t="s">
        <v>34</v>
      </c>
      <c r="AE43" t="s">
        <v>19</v>
      </c>
      <c r="AF43" t="s">
        <v>31</v>
      </c>
      <c r="AG43" t="s">
        <v>16</v>
      </c>
      <c r="AH43" s="16">
        <v>0.61</v>
      </c>
      <c r="AI43" s="16">
        <v>529.72</v>
      </c>
      <c r="AJ43" s="16">
        <v>1965.03</v>
      </c>
      <c r="AK43" s="13" t="s">
        <v>36</v>
      </c>
      <c r="AL43" t="s">
        <v>30</v>
      </c>
      <c r="AM43" t="s">
        <v>34</v>
      </c>
      <c r="AN43" t="s">
        <v>21</v>
      </c>
      <c r="AO43" t="s">
        <v>31</v>
      </c>
      <c r="AP43" t="s">
        <v>22</v>
      </c>
      <c r="AQ43" s="14" t="s">
        <v>26</v>
      </c>
      <c r="AR43" s="14" t="s">
        <v>26</v>
      </c>
      <c r="AS43" s="18" t="s">
        <v>26</v>
      </c>
    </row>
    <row r="44" spans="1:45" x14ac:dyDescent="0.25">
      <c r="A44" s="13" t="s">
        <v>36</v>
      </c>
      <c r="B44" t="s">
        <v>32</v>
      </c>
      <c r="C44" t="s">
        <v>34</v>
      </c>
      <c r="D44" t="s">
        <v>12</v>
      </c>
      <c r="E44" t="s">
        <v>31</v>
      </c>
      <c r="F44" t="s">
        <v>14</v>
      </c>
      <c r="G44" s="14">
        <v>2.09</v>
      </c>
      <c r="H44" s="14">
        <v>1686.29</v>
      </c>
      <c r="I44" s="14">
        <v>4519.58</v>
      </c>
      <c r="J44" s="13" t="s">
        <v>36</v>
      </c>
      <c r="K44" t="s">
        <v>32</v>
      </c>
      <c r="L44" t="s">
        <v>34</v>
      </c>
      <c r="M44" t="s">
        <v>15</v>
      </c>
      <c r="N44" t="s">
        <v>31</v>
      </c>
      <c r="O44" t="s">
        <v>22</v>
      </c>
      <c r="P44" s="16">
        <v>0.82</v>
      </c>
      <c r="Q44" s="16">
        <v>699.23</v>
      </c>
      <c r="R44" s="16">
        <v>2947.55</v>
      </c>
      <c r="S44" s="13" t="s">
        <v>36</v>
      </c>
      <c r="T44" t="s">
        <v>32</v>
      </c>
      <c r="U44" t="s">
        <v>34</v>
      </c>
      <c r="V44" t="s">
        <v>17</v>
      </c>
      <c r="W44" t="s">
        <v>31</v>
      </c>
      <c r="X44" t="s">
        <v>20</v>
      </c>
      <c r="Y44" s="16">
        <v>0.87</v>
      </c>
      <c r="Z44" s="16">
        <v>699.23</v>
      </c>
      <c r="AA44" s="16">
        <v>1965.03</v>
      </c>
      <c r="AB44" s="13" t="s">
        <v>36</v>
      </c>
      <c r="AC44" t="s">
        <v>32</v>
      </c>
      <c r="AD44" t="s">
        <v>34</v>
      </c>
      <c r="AE44" t="s">
        <v>19</v>
      </c>
      <c r="AF44" t="s">
        <v>31</v>
      </c>
      <c r="AG44" t="s">
        <v>16</v>
      </c>
      <c r="AH44" s="16">
        <v>0.46</v>
      </c>
      <c r="AI44" s="16">
        <v>402.59</v>
      </c>
      <c r="AJ44" s="16">
        <v>1768.53</v>
      </c>
      <c r="AK44" s="13" t="s">
        <v>36</v>
      </c>
      <c r="AL44" t="s">
        <v>32</v>
      </c>
      <c r="AM44" t="s">
        <v>34</v>
      </c>
      <c r="AN44" t="s">
        <v>21</v>
      </c>
      <c r="AO44" t="s">
        <v>31</v>
      </c>
      <c r="AP44" t="s">
        <v>18</v>
      </c>
      <c r="AQ44" s="14" t="s">
        <v>26</v>
      </c>
      <c r="AR44" s="14" t="s">
        <v>26</v>
      </c>
      <c r="AS44" s="18" t="s">
        <v>26</v>
      </c>
    </row>
    <row r="45" spans="1:45" x14ac:dyDescent="0.25">
      <c r="A45" s="13" t="s">
        <v>37</v>
      </c>
      <c r="B45" t="s">
        <v>30</v>
      </c>
      <c r="C45" t="s">
        <v>34</v>
      </c>
      <c r="D45" t="s">
        <v>12</v>
      </c>
      <c r="E45" t="s">
        <v>31</v>
      </c>
      <c r="F45" t="s">
        <v>22</v>
      </c>
      <c r="G45" s="16">
        <v>0.51</v>
      </c>
      <c r="H45" s="16">
        <v>444.97</v>
      </c>
      <c r="I45" s="16">
        <v>1768.53</v>
      </c>
      <c r="J45" s="13" t="s">
        <v>37</v>
      </c>
      <c r="K45" t="s">
        <v>30</v>
      </c>
      <c r="L45" t="s">
        <v>34</v>
      </c>
      <c r="M45" t="s">
        <v>15</v>
      </c>
      <c r="N45" t="s">
        <v>31</v>
      </c>
      <c r="O45" t="s">
        <v>14</v>
      </c>
      <c r="P45" s="14">
        <v>0.81</v>
      </c>
      <c r="Q45" s="14">
        <v>705.23</v>
      </c>
      <c r="R45" s="14">
        <v>3792.57</v>
      </c>
      <c r="S45" s="13" t="s">
        <v>37</v>
      </c>
      <c r="T45" t="s">
        <v>30</v>
      </c>
      <c r="U45" t="s">
        <v>34</v>
      </c>
      <c r="V45" t="s">
        <v>17</v>
      </c>
      <c r="W45" t="s">
        <v>31</v>
      </c>
      <c r="X45" t="s">
        <v>20</v>
      </c>
      <c r="Y45" s="16">
        <v>0.37</v>
      </c>
      <c r="Z45" s="16">
        <v>381.4</v>
      </c>
      <c r="AA45" s="16">
        <v>2947.55</v>
      </c>
      <c r="AB45" s="13" t="s">
        <v>37</v>
      </c>
      <c r="AC45" t="s">
        <v>30</v>
      </c>
      <c r="AD45" t="s">
        <v>34</v>
      </c>
      <c r="AE45" t="s">
        <v>19</v>
      </c>
      <c r="AF45" t="s">
        <v>31</v>
      </c>
      <c r="AG45" t="s">
        <v>18</v>
      </c>
      <c r="AH45" s="16">
        <v>0.12</v>
      </c>
      <c r="AI45" s="16">
        <v>105.94</v>
      </c>
      <c r="AJ45" s="16">
        <v>786.01</v>
      </c>
      <c r="AK45" s="13" t="s">
        <v>37</v>
      </c>
      <c r="AL45" t="s">
        <v>30</v>
      </c>
      <c r="AM45" t="s">
        <v>34</v>
      </c>
      <c r="AN45" t="s">
        <v>21</v>
      </c>
      <c r="AO45" t="s">
        <v>31</v>
      </c>
      <c r="AP45" t="s">
        <v>16</v>
      </c>
      <c r="AQ45" s="14" t="s">
        <v>26</v>
      </c>
      <c r="AR45" s="14" t="s">
        <v>26</v>
      </c>
      <c r="AS45" s="18" t="s">
        <v>26</v>
      </c>
    </row>
    <row r="46" spans="1:45" x14ac:dyDescent="0.25">
      <c r="A46" s="13" t="s">
        <v>37</v>
      </c>
      <c r="B46" t="s">
        <v>32</v>
      </c>
      <c r="C46" t="s">
        <v>34</v>
      </c>
      <c r="D46" t="s">
        <v>12</v>
      </c>
      <c r="E46" t="s">
        <v>31</v>
      </c>
      <c r="F46" t="s">
        <v>22</v>
      </c>
      <c r="G46" s="16">
        <v>1.3</v>
      </c>
      <c r="H46" s="16">
        <v>1080.6300000000001</v>
      </c>
      <c r="I46" s="16">
        <v>4912.59</v>
      </c>
      <c r="J46" s="13" t="s">
        <v>37</v>
      </c>
      <c r="K46" t="s">
        <v>32</v>
      </c>
      <c r="L46" t="s">
        <v>34</v>
      </c>
      <c r="M46" t="s">
        <v>15</v>
      </c>
      <c r="N46" t="s">
        <v>31</v>
      </c>
      <c r="O46" t="s">
        <v>18</v>
      </c>
      <c r="P46" s="16">
        <v>2.5499999999999998</v>
      </c>
      <c r="Q46" s="16">
        <v>2012.94</v>
      </c>
      <c r="R46" s="16">
        <v>5502.1</v>
      </c>
      <c r="S46" s="13" t="s">
        <v>37</v>
      </c>
      <c r="T46" t="s">
        <v>32</v>
      </c>
      <c r="U46" t="s">
        <v>34</v>
      </c>
      <c r="V46" t="s">
        <v>17</v>
      </c>
      <c r="W46" t="s">
        <v>31</v>
      </c>
      <c r="X46" t="s">
        <v>16</v>
      </c>
      <c r="Y46" s="16">
        <v>1.75</v>
      </c>
      <c r="Z46" s="16">
        <v>1334.9</v>
      </c>
      <c r="AA46" s="16">
        <v>3144.06</v>
      </c>
      <c r="AB46" s="13" t="s">
        <v>37</v>
      </c>
      <c r="AC46" t="s">
        <v>32</v>
      </c>
      <c r="AD46" t="s">
        <v>34</v>
      </c>
      <c r="AE46" t="s">
        <v>19</v>
      </c>
      <c r="AF46" t="s">
        <v>31</v>
      </c>
      <c r="AG46" t="s">
        <v>20</v>
      </c>
      <c r="AH46" s="16">
        <v>1.06</v>
      </c>
      <c r="AI46" s="16">
        <v>826.36</v>
      </c>
      <c r="AJ46" s="16">
        <v>2358.04</v>
      </c>
      <c r="AK46" s="13" t="s">
        <v>37</v>
      </c>
      <c r="AL46" t="s">
        <v>32</v>
      </c>
      <c r="AM46" t="s">
        <v>34</v>
      </c>
      <c r="AN46" t="s">
        <v>21</v>
      </c>
      <c r="AO46" t="s">
        <v>31</v>
      </c>
      <c r="AP46" t="s">
        <v>14</v>
      </c>
      <c r="AQ46" s="16">
        <v>0.46</v>
      </c>
      <c r="AR46" s="16">
        <v>339.02</v>
      </c>
      <c r="AS46" s="30">
        <v>786.01</v>
      </c>
    </row>
    <row r="47" spans="1:45" x14ac:dyDescent="0.25">
      <c r="A47" s="13" t="s">
        <v>38</v>
      </c>
      <c r="B47" t="s">
        <v>30</v>
      </c>
      <c r="C47" t="s">
        <v>34</v>
      </c>
      <c r="D47" t="s">
        <v>12</v>
      </c>
      <c r="E47" t="s">
        <v>31</v>
      </c>
      <c r="F47" t="s">
        <v>16</v>
      </c>
      <c r="G47" s="16">
        <v>1.26</v>
      </c>
      <c r="H47" s="16">
        <v>953.5</v>
      </c>
      <c r="I47" s="16">
        <v>3537.06</v>
      </c>
      <c r="J47" s="13" t="s">
        <v>38</v>
      </c>
      <c r="K47" t="s">
        <v>30</v>
      </c>
      <c r="L47" t="s">
        <v>34</v>
      </c>
      <c r="M47" t="s">
        <v>15</v>
      </c>
      <c r="N47" t="s">
        <v>31</v>
      </c>
      <c r="O47" t="s">
        <v>14</v>
      </c>
      <c r="P47" s="14">
        <v>0.24</v>
      </c>
      <c r="Q47" s="14">
        <v>293.83</v>
      </c>
      <c r="R47" s="14">
        <v>2383.0100000000002</v>
      </c>
      <c r="S47" s="13" t="s">
        <v>38</v>
      </c>
      <c r="T47" t="s">
        <v>30</v>
      </c>
      <c r="U47" t="s">
        <v>34</v>
      </c>
      <c r="V47" t="s">
        <v>17</v>
      </c>
      <c r="W47" t="s">
        <v>31</v>
      </c>
      <c r="X47" t="s">
        <v>18</v>
      </c>
      <c r="Y47" s="16">
        <v>1.17</v>
      </c>
      <c r="Z47" s="16">
        <v>889.93</v>
      </c>
      <c r="AA47" s="16">
        <v>1965.03</v>
      </c>
      <c r="AB47" s="13" t="s">
        <v>38</v>
      </c>
      <c r="AC47" t="s">
        <v>30</v>
      </c>
      <c r="AD47" t="s">
        <v>34</v>
      </c>
      <c r="AE47" t="s">
        <v>19</v>
      </c>
      <c r="AF47" t="s">
        <v>31</v>
      </c>
      <c r="AG47" t="s">
        <v>22</v>
      </c>
      <c r="AH47" s="16">
        <v>0.34</v>
      </c>
      <c r="AI47" s="16">
        <v>254.27</v>
      </c>
      <c r="AJ47" s="16">
        <v>786.01</v>
      </c>
      <c r="AK47" s="13" t="s">
        <v>38</v>
      </c>
      <c r="AL47" t="s">
        <v>30</v>
      </c>
      <c r="AM47" t="s">
        <v>34</v>
      </c>
      <c r="AN47" t="s">
        <v>21</v>
      </c>
      <c r="AO47" t="s">
        <v>31</v>
      </c>
      <c r="AP47" t="s">
        <v>20</v>
      </c>
      <c r="AQ47" s="14" t="s">
        <v>26</v>
      </c>
      <c r="AR47" s="14" t="s">
        <v>26</v>
      </c>
      <c r="AS47" s="18" t="s">
        <v>26</v>
      </c>
    </row>
    <row r="48" spans="1:45" x14ac:dyDescent="0.25">
      <c r="A48" s="13" t="s">
        <v>38</v>
      </c>
      <c r="B48" t="s">
        <v>32</v>
      </c>
      <c r="C48" t="s">
        <v>34</v>
      </c>
      <c r="D48" t="s">
        <v>12</v>
      </c>
      <c r="E48" t="s">
        <v>31</v>
      </c>
      <c r="F48" t="s">
        <v>18</v>
      </c>
      <c r="G48" s="16">
        <v>1.46</v>
      </c>
      <c r="H48" s="16">
        <v>1292.52</v>
      </c>
      <c r="I48" s="16">
        <v>4519.58</v>
      </c>
      <c r="J48" s="13" t="s">
        <v>38</v>
      </c>
      <c r="K48" t="s">
        <v>32</v>
      </c>
      <c r="L48" t="s">
        <v>34</v>
      </c>
      <c r="M48" t="s">
        <v>15</v>
      </c>
      <c r="N48" t="s">
        <v>31</v>
      </c>
      <c r="O48" t="s">
        <v>14</v>
      </c>
      <c r="P48" s="14">
        <v>1.92</v>
      </c>
      <c r="Q48" s="14">
        <v>1498.41</v>
      </c>
      <c r="R48" s="14">
        <v>3378.52</v>
      </c>
      <c r="S48" s="13" t="s">
        <v>38</v>
      </c>
      <c r="T48" t="s">
        <v>32</v>
      </c>
      <c r="U48" t="s">
        <v>34</v>
      </c>
      <c r="V48" t="s">
        <v>17</v>
      </c>
      <c r="W48" t="s">
        <v>31</v>
      </c>
      <c r="X48" t="s">
        <v>20</v>
      </c>
      <c r="Y48" s="16">
        <v>0.48</v>
      </c>
      <c r="Z48" s="16">
        <v>402.59</v>
      </c>
      <c r="AA48" s="16">
        <v>1375.52</v>
      </c>
      <c r="AB48" s="13" t="s">
        <v>38</v>
      </c>
      <c r="AC48" t="s">
        <v>32</v>
      </c>
      <c r="AD48" t="s">
        <v>34</v>
      </c>
      <c r="AE48" t="s">
        <v>19</v>
      </c>
      <c r="AF48" t="s">
        <v>31</v>
      </c>
      <c r="AG48" t="s">
        <v>16</v>
      </c>
      <c r="AH48" s="16">
        <v>0.79</v>
      </c>
      <c r="AI48" s="16">
        <v>635.66</v>
      </c>
      <c r="AJ48" s="16">
        <v>1965.03</v>
      </c>
      <c r="AK48" s="13" t="s">
        <v>38</v>
      </c>
      <c r="AL48" t="s">
        <v>32</v>
      </c>
      <c r="AM48" t="s">
        <v>34</v>
      </c>
      <c r="AN48" t="s">
        <v>21</v>
      </c>
      <c r="AO48" t="s">
        <v>31</v>
      </c>
      <c r="AP48" t="s">
        <v>22</v>
      </c>
      <c r="AQ48" s="14" t="s">
        <v>26</v>
      </c>
      <c r="AR48" s="14" t="s">
        <v>26</v>
      </c>
      <c r="AS48" s="18" t="s">
        <v>26</v>
      </c>
    </row>
    <row r="49" spans="1:45" x14ac:dyDescent="0.25">
      <c r="A49" s="13" t="s">
        <v>39</v>
      </c>
      <c r="B49" t="s">
        <v>30</v>
      </c>
      <c r="C49" t="s">
        <v>34</v>
      </c>
      <c r="D49" t="s">
        <v>12</v>
      </c>
      <c r="E49" t="s">
        <v>31</v>
      </c>
      <c r="F49" t="s">
        <v>22</v>
      </c>
      <c r="G49" s="16">
        <v>1.18</v>
      </c>
      <c r="H49" s="16">
        <v>868.74</v>
      </c>
      <c r="I49" s="16">
        <v>1768.53</v>
      </c>
      <c r="J49" s="13" t="s">
        <v>39</v>
      </c>
      <c r="K49" t="s">
        <v>30</v>
      </c>
      <c r="L49" t="s">
        <v>34</v>
      </c>
      <c r="M49" t="s">
        <v>15</v>
      </c>
      <c r="N49" t="s">
        <v>31</v>
      </c>
      <c r="O49" t="s">
        <v>14</v>
      </c>
      <c r="P49" s="14">
        <v>1.3</v>
      </c>
      <c r="Q49" s="14">
        <v>1124.01</v>
      </c>
      <c r="R49" s="14">
        <v>4716.08</v>
      </c>
      <c r="S49" s="13" t="s">
        <v>39</v>
      </c>
      <c r="T49" t="s">
        <v>30</v>
      </c>
      <c r="U49" t="s">
        <v>34</v>
      </c>
      <c r="V49" t="s">
        <v>17</v>
      </c>
      <c r="W49" t="s">
        <v>31</v>
      </c>
      <c r="X49" t="s">
        <v>16</v>
      </c>
      <c r="Y49" s="16">
        <v>0.37</v>
      </c>
      <c r="Z49" s="16">
        <v>275.45</v>
      </c>
      <c r="AA49" s="16">
        <v>786.01</v>
      </c>
      <c r="AB49" s="13" t="s">
        <v>39</v>
      </c>
      <c r="AC49" t="s">
        <v>30</v>
      </c>
      <c r="AD49" t="s">
        <v>34</v>
      </c>
      <c r="AE49" t="s">
        <v>19</v>
      </c>
      <c r="AF49" t="s">
        <v>31</v>
      </c>
      <c r="AG49" t="s">
        <v>20</v>
      </c>
      <c r="AH49" s="16">
        <v>0.34</v>
      </c>
      <c r="AI49" s="16">
        <v>275.45</v>
      </c>
      <c r="AJ49" s="16">
        <v>982.52</v>
      </c>
      <c r="AK49" s="13" t="s">
        <v>39</v>
      </c>
      <c r="AL49" t="s">
        <v>30</v>
      </c>
      <c r="AM49" t="s">
        <v>34</v>
      </c>
      <c r="AN49" t="s">
        <v>21</v>
      </c>
      <c r="AO49" t="s">
        <v>31</v>
      </c>
      <c r="AP49" t="s">
        <v>18</v>
      </c>
      <c r="AQ49" s="14" t="s">
        <v>26</v>
      </c>
      <c r="AR49" s="14" t="s">
        <v>26</v>
      </c>
      <c r="AS49" s="18" t="s">
        <v>26</v>
      </c>
    </row>
    <row r="50" spans="1:45" x14ac:dyDescent="0.25">
      <c r="A50" s="19" t="s">
        <v>39</v>
      </c>
      <c r="B50" s="20" t="s">
        <v>32</v>
      </c>
      <c r="C50" s="20" t="s">
        <v>34</v>
      </c>
      <c r="D50" s="20" t="s">
        <v>12</v>
      </c>
      <c r="E50" s="20" t="s">
        <v>31</v>
      </c>
      <c r="F50" s="20" t="s">
        <v>14</v>
      </c>
      <c r="G50" s="23">
        <v>2.0699999999999998</v>
      </c>
      <c r="H50" s="23">
        <v>1815.05</v>
      </c>
      <c r="I50" s="23">
        <v>8047.64</v>
      </c>
      <c r="J50" s="19" t="s">
        <v>39</v>
      </c>
      <c r="K50" s="20" t="s">
        <v>32</v>
      </c>
      <c r="L50" s="20" t="s">
        <v>34</v>
      </c>
      <c r="M50" s="20" t="s">
        <v>15</v>
      </c>
      <c r="N50" s="20" t="s">
        <v>31</v>
      </c>
      <c r="O50" s="20" t="s">
        <v>20</v>
      </c>
      <c r="P50" s="21">
        <v>0.91</v>
      </c>
      <c r="Q50" s="21">
        <v>911.12</v>
      </c>
      <c r="R50" s="21">
        <v>5109.09</v>
      </c>
      <c r="S50" s="19" t="s">
        <v>39</v>
      </c>
      <c r="T50" s="20" t="s">
        <v>32</v>
      </c>
      <c r="U50" s="20" t="s">
        <v>34</v>
      </c>
      <c r="V50" s="20" t="s">
        <v>17</v>
      </c>
      <c r="W50" s="20" t="s">
        <v>31</v>
      </c>
      <c r="X50" s="20" t="s">
        <v>22</v>
      </c>
      <c r="Y50" s="21">
        <v>0.8</v>
      </c>
      <c r="Z50" s="21">
        <v>635.66</v>
      </c>
      <c r="AA50" s="21">
        <v>1965.03</v>
      </c>
      <c r="AB50" s="19" t="s">
        <v>39</v>
      </c>
      <c r="AC50" s="20" t="s">
        <v>32</v>
      </c>
      <c r="AD50" s="20" t="s">
        <v>34</v>
      </c>
      <c r="AE50" s="20" t="s">
        <v>19</v>
      </c>
      <c r="AF50" s="20" t="s">
        <v>31</v>
      </c>
      <c r="AG50" s="20" t="s">
        <v>18</v>
      </c>
      <c r="AH50" s="21">
        <v>0.82</v>
      </c>
      <c r="AI50" s="21">
        <v>656.85</v>
      </c>
      <c r="AJ50" s="21">
        <v>1965.03</v>
      </c>
      <c r="AK50" s="19" t="s">
        <v>39</v>
      </c>
      <c r="AL50" s="20" t="s">
        <v>32</v>
      </c>
      <c r="AM50" s="20" t="s">
        <v>34</v>
      </c>
      <c r="AN50" s="20" t="s">
        <v>21</v>
      </c>
      <c r="AO50" s="20" t="s">
        <v>31</v>
      </c>
      <c r="AP50" s="20" t="s">
        <v>16</v>
      </c>
      <c r="AQ50" s="23" t="s">
        <v>26</v>
      </c>
      <c r="AR50" s="23" t="s">
        <v>26</v>
      </c>
      <c r="AS50" s="24" t="s">
        <v>26</v>
      </c>
    </row>
    <row r="53" spans="1:45" x14ac:dyDescent="0.25">
      <c r="O53" s="4"/>
      <c r="P53" s="6"/>
      <c r="Q53" s="4"/>
      <c r="W53" s="4"/>
      <c r="X53" s="6"/>
      <c r="Y53" s="4"/>
      <c r="AD53" s="7"/>
      <c r="AE53" s="4"/>
      <c r="AF53" s="6"/>
      <c r="AG53" s="4"/>
    </row>
    <row r="54" spans="1:45" x14ac:dyDescent="0.25">
      <c r="O54" s="4"/>
      <c r="P54" s="6"/>
      <c r="Q54" s="4"/>
      <c r="W54" s="4"/>
      <c r="X54" s="6"/>
      <c r="Y54" s="4"/>
      <c r="AD54" s="7"/>
      <c r="AE54" s="4"/>
      <c r="AF54" s="6"/>
      <c r="AG54" s="4"/>
    </row>
    <row r="55" spans="1:45" x14ac:dyDescent="0.25">
      <c r="O55" s="4"/>
      <c r="P55" s="6"/>
      <c r="Q55" s="4"/>
      <c r="W55" s="4"/>
      <c r="X55" s="6"/>
      <c r="Y55" s="4"/>
      <c r="AD55" s="7"/>
      <c r="AE55" s="4"/>
      <c r="AF55" s="6"/>
      <c r="AG55" s="4"/>
    </row>
    <row r="56" spans="1:45" x14ac:dyDescent="0.25">
      <c r="O56" s="1"/>
      <c r="P56" s="2"/>
      <c r="Q56" s="1"/>
      <c r="W56" s="1"/>
      <c r="X56" s="2"/>
      <c r="Y56" s="1"/>
      <c r="AA56" s="1"/>
      <c r="AD56" s="1"/>
      <c r="AE56" s="1"/>
      <c r="AF56" s="2"/>
      <c r="AG56" s="1"/>
      <c r="AI56" s="1"/>
    </row>
    <row r="57" spans="1:45" x14ac:dyDescent="0.25">
      <c r="O57" s="4"/>
      <c r="P57" s="6"/>
      <c r="Q57" s="4"/>
      <c r="W57" s="4"/>
      <c r="X57" s="6"/>
      <c r="Y57" s="4"/>
      <c r="AD57" s="7"/>
      <c r="AE57" s="4"/>
      <c r="AF57" s="6"/>
      <c r="AG57" s="4"/>
    </row>
    <row r="58" spans="1:45" x14ac:dyDescent="0.25">
      <c r="O58" s="4"/>
      <c r="P58" s="6"/>
      <c r="Q58" s="4"/>
      <c r="W58" s="4"/>
      <c r="X58" s="6"/>
      <c r="Y58" s="4"/>
      <c r="AD58" s="7"/>
      <c r="AE58" s="4"/>
      <c r="AF58" s="6"/>
      <c r="AG58" s="4"/>
    </row>
    <row r="59" spans="1:45" x14ac:dyDescent="0.25">
      <c r="O59" s="4"/>
      <c r="P59" s="6"/>
      <c r="Q59" s="4"/>
      <c r="W59" s="4"/>
      <c r="X59" s="6"/>
      <c r="Y59" s="4"/>
      <c r="AD59" s="7"/>
      <c r="AE59" s="4"/>
      <c r="AF59" s="6"/>
      <c r="AG59" s="4"/>
    </row>
    <row r="60" spans="1:45" x14ac:dyDescent="0.25">
      <c r="O60" s="4"/>
      <c r="P60" s="6"/>
      <c r="Q60" s="4"/>
      <c r="W60" s="4"/>
      <c r="X60" s="6"/>
      <c r="Y60" s="4"/>
      <c r="AD60" s="7"/>
      <c r="AE60" s="4"/>
      <c r="AF60" s="6"/>
      <c r="AG60" s="4"/>
    </row>
    <row r="61" spans="1:45" x14ac:dyDescent="0.25">
      <c r="O61" s="4"/>
      <c r="P61" s="6"/>
      <c r="Q61" s="4"/>
      <c r="W61" s="4"/>
      <c r="X61" s="6"/>
      <c r="Y61" s="4"/>
      <c r="AD61" s="7"/>
      <c r="AE61" s="4"/>
      <c r="AF61" s="6"/>
      <c r="AG61" s="4"/>
    </row>
    <row r="62" spans="1:45" x14ac:dyDescent="0.25">
      <c r="O62" s="4"/>
      <c r="P62" s="6"/>
      <c r="Q62" s="4"/>
      <c r="W62" s="4"/>
      <c r="X62" s="6"/>
      <c r="Y62" s="4"/>
      <c r="AD62" s="7"/>
      <c r="AE62" s="4"/>
      <c r="AF62" s="6"/>
      <c r="AG62" s="4"/>
    </row>
    <row r="63" spans="1:45" x14ac:dyDescent="0.25">
      <c r="AD63" s="7"/>
    </row>
    <row r="64" spans="1:45" x14ac:dyDescent="0.25">
      <c r="O64" s="4"/>
      <c r="P64" s="6"/>
      <c r="Q64" s="4"/>
      <c r="W64" s="4"/>
      <c r="X64" s="6"/>
      <c r="Y64" s="4"/>
      <c r="AD64" s="7"/>
      <c r="AE64" s="4"/>
      <c r="AF64" s="6"/>
      <c r="AG6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683C-3D41-4D64-B3B1-2DACDB7C9AD0}">
  <dimension ref="A1:AS50"/>
  <sheetViews>
    <sheetView topLeftCell="AK1" zoomScaleNormal="100" workbookViewId="0">
      <selection activeCell="AT1" sqref="AT1:XFD1048576"/>
    </sheetView>
  </sheetViews>
  <sheetFormatPr defaultRowHeight="15" x14ac:dyDescent="0.25"/>
  <cols>
    <col min="1" max="1" width="7.28515625" bestFit="1" customWidth="1"/>
    <col min="2" max="2" width="5.140625" bestFit="1" customWidth="1"/>
    <col min="3" max="3" width="7.42578125" bestFit="1" customWidth="1"/>
    <col min="4" max="4" width="10" bestFit="1" customWidth="1"/>
    <col min="5" max="5" width="7.42578125" bestFit="1" customWidth="1"/>
    <col min="6" max="6" width="15.85546875" bestFit="1" customWidth="1"/>
    <col min="7" max="7" width="11.85546875" bestFit="1" customWidth="1"/>
    <col min="8" max="8" width="13.5703125" bestFit="1" customWidth="1"/>
    <col min="9" max="9" width="13.85546875" bestFit="1" customWidth="1"/>
    <col min="10" max="10" width="7.28515625" bestFit="1" customWidth="1"/>
    <col min="11" max="11" width="5.140625" bestFit="1" customWidth="1"/>
    <col min="12" max="12" width="7.42578125" bestFit="1" customWidth="1"/>
    <col min="13" max="13" width="10" bestFit="1" customWidth="1"/>
    <col min="14" max="14" width="7.42578125" bestFit="1" customWidth="1"/>
    <col min="15" max="15" width="15.85546875" bestFit="1" customWidth="1"/>
    <col min="16" max="16" width="11.85546875" bestFit="1" customWidth="1"/>
    <col min="17" max="17" width="13.5703125" bestFit="1" customWidth="1"/>
    <col min="18" max="18" width="13.85546875" bestFit="1" customWidth="1"/>
    <col min="19" max="19" width="7.28515625" bestFit="1" customWidth="1"/>
    <col min="20" max="20" width="5.140625" bestFit="1" customWidth="1"/>
    <col min="21" max="21" width="7.42578125" bestFit="1" customWidth="1"/>
    <col min="22" max="22" width="10" bestFit="1" customWidth="1"/>
    <col min="23" max="23" width="7.42578125" bestFit="1" customWidth="1"/>
    <col min="24" max="24" width="15.85546875" bestFit="1" customWidth="1"/>
    <col min="25" max="25" width="11.85546875" bestFit="1" customWidth="1"/>
    <col min="26" max="26" width="13.5703125" bestFit="1" customWidth="1"/>
    <col min="27" max="27" width="13.85546875" bestFit="1" customWidth="1"/>
    <col min="28" max="28" width="7.28515625" bestFit="1" customWidth="1"/>
    <col min="29" max="29" width="5.140625" bestFit="1" customWidth="1"/>
    <col min="30" max="30" width="7.42578125" bestFit="1" customWidth="1"/>
    <col min="31" max="31" width="10" bestFit="1" customWidth="1"/>
    <col min="32" max="32" width="7.42578125" bestFit="1" customWidth="1"/>
    <col min="33" max="33" width="15.85546875" bestFit="1" customWidth="1"/>
    <col min="34" max="34" width="11.85546875" bestFit="1" customWidth="1"/>
    <col min="35" max="35" width="13.5703125" bestFit="1" customWidth="1"/>
    <col min="36" max="36" width="13.85546875" bestFit="1" customWidth="1"/>
    <col min="37" max="37" width="7.28515625" bestFit="1" customWidth="1"/>
    <col min="38" max="38" width="5.140625" bestFit="1" customWidth="1"/>
    <col min="39" max="39" width="7.42578125" bestFit="1" customWidth="1"/>
    <col min="40" max="40" width="10" bestFit="1" customWidth="1"/>
    <col min="41" max="41" width="7.42578125" bestFit="1" customWidth="1"/>
    <col min="42" max="42" width="15.85546875" bestFit="1" customWidth="1"/>
    <col min="43" max="43" width="11.85546875" bestFit="1" customWidth="1"/>
    <col min="44" max="44" width="13.5703125" bestFit="1" customWidth="1"/>
    <col min="45" max="45" width="13.85546875" bestFit="1" customWidth="1"/>
  </cols>
  <sheetData>
    <row r="1" spans="1:4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9" t="s">
        <v>0</v>
      </c>
      <c r="K1" s="10" t="s">
        <v>1</v>
      </c>
      <c r="L1" s="10" t="s">
        <v>2</v>
      </c>
      <c r="M1" s="10" t="s">
        <v>3</v>
      </c>
      <c r="N1" s="10" t="s">
        <v>4</v>
      </c>
      <c r="O1" s="10" t="s">
        <v>5</v>
      </c>
      <c r="P1" s="11" t="s">
        <v>6</v>
      </c>
      <c r="Q1" s="11" t="s">
        <v>7</v>
      </c>
      <c r="R1" s="25" t="s">
        <v>8</v>
      </c>
      <c r="S1" s="9" t="s">
        <v>0</v>
      </c>
      <c r="T1" s="10" t="s">
        <v>1</v>
      </c>
      <c r="U1" s="10" t="s">
        <v>2</v>
      </c>
      <c r="V1" s="10" t="s">
        <v>3</v>
      </c>
      <c r="W1" s="10" t="s">
        <v>4</v>
      </c>
      <c r="X1" s="10" t="s">
        <v>5</v>
      </c>
      <c r="Y1" s="11" t="s">
        <v>6</v>
      </c>
      <c r="Z1" s="11" t="s">
        <v>7</v>
      </c>
      <c r="AA1" s="11" t="s">
        <v>8</v>
      </c>
      <c r="AB1" s="9" t="s">
        <v>0</v>
      </c>
      <c r="AC1" s="10" t="s">
        <v>1</v>
      </c>
      <c r="AD1" s="10" t="s">
        <v>2</v>
      </c>
      <c r="AE1" s="10" t="s">
        <v>3</v>
      </c>
      <c r="AF1" s="10" t="s">
        <v>4</v>
      </c>
      <c r="AG1" s="10" t="s">
        <v>5</v>
      </c>
      <c r="AH1" s="11" t="s">
        <v>6</v>
      </c>
      <c r="AI1" s="11" t="s">
        <v>7</v>
      </c>
      <c r="AJ1" s="11" t="s">
        <v>8</v>
      </c>
      <c r="AK1" s="9" t="s">
        <v>0</v>
      </c>
      <c r="AL1" s="10" t="s">
        <v>1</v>
      </c>
      <c r="AM1" s="10" t="s">
        <v>2</v>
      </c>
      <c r="AN1" s="10" t="s">
        <v>3</v>
      </c>
      <c r="AO1" s="10" t="s">
        <v>4</v>
      </c>
      <c r="AP1" s="10" t="s">
        <v>5</v>
      </c>
      <c r="AQ1" s="11" t="s">
        <v>6</v>
      </c>
      <c r="AR1" s="11" t="s">
        <v>7</v>
      </c>
      <c r="AS1" s="25" t="s">
        <v>8</v>
      </c>
    </row>
    <row r="2" spans="1:45" x14ac:dyDescent="0.25">
      <c r="A2" s="13" t="s">
        <v>40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4" t="s">
        <v>26</v>
      </c>
      <c r="H2" s="14" t="s">
        <v>26</v>
      </c>
      <c r="I2" s="14" t="s">
        <v>26</v>
      </c>
      <c r="J2" s="13" t="s">
        <v>40</v>
      </c>
      <c r="K2" t="s">
        <v>10</v>
      </c>
      <c r="L2" t="s">
        <v>11</v>
      </c>
      <c r="M2" t="s">
        <v>15</v>
      </c>
      <c r="N2" t="s">
        <v>13</v>
      </c>
      <c r="O2" t="s">
        <v>16</v>
      </c>
      <c r="P2" s="14" t="s">
        <v>26</v>
      </c>
      <c r="Q2" s="14" t="s">
        <v>26</v>
      </c>
      <c r="R2" s="18" t="s">
        <v>26</v>
      </c>
      <c r="S2" s="13" t="s">
        <v>40</v>
      </c>
      <c r="T2" t="s">
        <v>10</v>
      </c>
      <c r="U2" t="s">
        <v>11</v>
      </c>
      <c r="V2" t="s">
        <v>17</v>
      </c>
      <c r="W2" t="s">
        <v>13</v>
      </c>
      <c r="X2" t="s">
        <v>18</v>
      </c>
      <c r="Y2" s="14" t="s">
        <v>26</v>
      </c>
      <c r="Z2" s="14" t="s">
        <v>26</v>
      </c>
      <c r="AA2" s="14" t="s">
        <v>26</v>
      </c>
      <c r="AB2" s="13" t="s">
        <v>40</v>
      </c>
      <c r="AC2" t="s">
        <v>10</v>
      </c>
      <c r="AD2" t="s">
        <v>11</v>
      </c>
      <c r="AE2" t="s">
        <v>19</v>
      </c>
      <c r="AF2" t="s">
        <v>13</v>
      </c>
      <c r="AG2" t="s">
        <v>20</v>
      </c>
      <c r="AH2" s="14" t="s">
        <v>26</v>
      </c>
      <c r="AI2" s="14" t="s">
        <v>26</v>
      </c>
      <c r="AJ2" s="14" t="s">
        <v>26</v>
      </c>
      <c r="AK2" s="13" t="s">
        <v>40</v>
      </c>
      <c r="AL2" t="s">
        <v>10</v>
      </c>
      <c r="AM2" t="s">
        <v>11</v>
      </c>
      <c r="AN2" t="s">
        <v>21</v>
      </c>
      <c r="AO2" t="s">
        <v>13</v>
      </c>
      <c r="AP2" s="7" t="s">
        <v>22</v>
      </c>
      <c r="AQ2" s="14" t="s">
        <v>26</v>
      </c>
      <c r="AR2" s="14" t="s">
        <v>26</v>
      </c>
      <c r="AS2" s="18" t="s">
        <v>26</v>
      </c>
    </row>
    <row r="3" spans="1:45" x14ac:dyDescent="0.25">
      <c r="A3" s="13" t="s">
        <v>40</v>
      </c>
      <c r="B3" t="s">
        <v>23</v>
      </c>
      <c r="C3" t="s">
        <v>11</v>
      </c>
      <c r="D3" t="s">
        <v>12</v>
      </c>
      <c r="E3" t="s">
        <v>13</v>
      </c>
      <c r="F3" t="s">
        <v>18</v>
      </c>
      <c r="G3" s="16">
        <v>1.08</v>
      </c>
      <c r="H3" s="16">
        <v>889.93</v>
      </c>
      <c r="I3" s="16">
        <v>2751.05</v>
      </c>
      <c r="J3" s="13" t="s">
        <v>40</v>
      </c>
      <c r="K3" t="s">
        <v>23</v>
      </c>
      <c r="L3" t="s">
        <v>11</v>
      </c>
      <c r="M3" t="s">
        <v>15</v>
      </c>
      <c r="N3" t="s">
        <v>13</v>
      </c>
      <c r="O3" t="s">
        <v>14</v>
      </c>
      <c r="P3" s="28">
        <v>1.05</v>
      </c>
      <c r="Q3" s="28">
        <v>889.93</v>
      </c>
      <c r="R3" s="37">
        <v>2751.05</v>
      </c>
      <c r="S3" s="13" t="s">
        <v>40</v>
      </c>
      <c r="T3" t="s">
        <v>23</v>
      </c>
      <c r="U3" t="s">
        <v>11</v>
      </c>
      <c r="V3" t="s">
        <v>17</v>
      </c>
      <c r="W3" t="s">
        <v>13</v>
      </c>
      <c r="X3" t="s">
        <v>18</v>
      </c>
      <c r="Y3" s="16">
        <v>0.85</v>
      </c>
      <c r="Z3" s="16">
        <v>678.04</v>
      </c>
      <c r="AA3" s="16">
        <v>1768.53</v>
      </c>
      <c r="AB3" s="13" t="s">
        <v>40</v>
      </c>
      <c r="AC3" t="s">
        <v>23</v>
      </c>
      <c r="AD3" t="s">
        <v>11</v>
      </c>
      <c r="AE3" t="s">
        <v>19</v>
      </c>
      <c r="AF3" t="s">
        <v>13</v>
      </c>
      <c r="AG3" t="s">
        <v>16</v>
      </c>
      <c r="AH3" s="14">
        <v>0.37</v>
      </c>
      <c r="AI3" s="14">
        <v>296.64</v>
      </c>
      <c r="AJ3" s="14">
        <v>786.01</v>
      </c>
      <c r="AK3" s="13" t="s">
        <v>40</v>
      </c>
      <c r="AL3" t="s">
        <v>23</v>
      </c>
      <c r="AM3" t="s">
        <v>11</v>
      </c>
      <c r="AN3" t="s">
        <v>21</v>
      </c>
      <c r="AO3" t="s">
        <v>13</v>
      </c>
      <c r="AP3" s="7" t="s">
        <v>20</v>
      </c>
      <c r="AQ3" s="14">
        <v>0.23</v>
      </c>
      <c r="AR3" s="14">
        <v>190.7</v>
      </c>
      <c r="AS3" s="18">
        <v>393.01</v>
      </c>
    </row>
    <row r="4" spans="1:45" x14ac:dyDescent="0.25">
      <c r="A4" s="13" t="s">
        <v>41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s="27">
        <v>0.32</v>
      </c>
      <c r="H4" s="27">
        <v>263.27</v>
      </c>
      <c r="I4" s="27">
        <v>1572.03</v>
      </c>
      <c r="J4" s="13" t="s">
        <v>41</v>
      </c>
      <c r="K4" t="s">
        <v>10</v>
      </c>
      <c r="L4" t="s">
        <v>11</v>
      </c>
      <c r="M4" t="s">
        <v>15</v>
      </c>
      <c r="N4" t="s">
        <v>13</v>
      </c>
      <c r="O4" t="s">
        <v>22</v>
      </c>
      <c r="P4" s="27">
        <v>0.59</v>
      </c>
      <c r="Q4" s="27">
        <v>467.97</v>
      </c>
      <c r="R4" s="31">
        <v>1429.52</v>
      </c>
      <c r="S4" s="13" t="s">
        <v>41</v>
      </c>
      <c r="T4" t="s">
        <v>10</v>
      </c>
      <c r="U4" t="s">
        <v>11</v>
      </c>
      <c r="V4" t="s">
        <v>17</v>
      </c>
      <c r="W4" t="s">
        <v>13</v>
      </c>
      <c r="X4" t="s">
        <v>20</v>
      </c>
      <c r="Y4" s="27">
        <v>0.34</v>
      </c>
      <c r="Z4" s="27">
        <v>257.27</v>
      </c>
      <c r="AA4" s="27">
        <v>982.52</v>
      </c>
      <c r="AB4" s="13" t="s">
        <v>41</v>
      </c>
      <c r="AC4" t="s">
        <v>10</v>
      </c>
      <c r="AD4" t="s">
        <v>11</v>
      </c>
      <c r="AE4" t="s">
        <v>19</v>
      </c>
      <c r="AF4" t="s">
        <v>13</v>
      </c>
      <c r="AG4" t="s">
        <v>14</v>
      </c>
      <c r="AH4" s="27">
        <v>0.41</v>
      </c>
      <c r="AI4" s="27">
        <v>323.20999999999998</v>
      </c>
      <c r="AJ4" s="27">
        <v>976.52</v>
      </c>
      <c r="AK4" s="13" t="s">
        <v>41</v>
      </c>
      <c r="AL4" t="s">
        <v>10</v>
      </c>
      <c r="AM4" t="s">
        <v>11</v>
      </c>
      <c r="AN4" t="s">
        <v>21</v>
      </c>
      <c r="AO4" t="s">
        <v>13</v>
      </c>
      <c r="AP4" s="35" t="s">
        <v>18</v>
      </c>
      <c r="AQ4" s="27">
        <v>0.11</v>
      </c>
      <c r="AR4" s="27">
        <v>89.94</v>
      </c>
      <c r="AS4" s="31">
        <v>347.5</v>
      </c>
    </row>
    <row r="5" spans="1:45" x14ac:dyDescent="0.25">
      <c r="A5" s="13" t="s">
        <v>41</v>
      </c>
      <c r="B5" t="s">
        <v>23</v>
      </c>
      <c r="C5" t="s">
        <v>11</v>
      </c>
      <c r="D5" t="s">
        <v>12</v>
      </c>
      <c r="E5" t="s">
        <v>13</v>
      </c>
      <c r="F5" t="s">
        <v>18</v>
      </c>
      <c r="G5" s="16">
        <v>0.67</v>
      </c>
      <c r="H5" s="16">
        <v>550.91</v>
      </c>
      <c r="I5" s="16">
        <v>1375.52</v>
      </c>
      <c r="J5" s="13" t="s">
        <v>41</v>
      </c>
      <c r="K5" t="s">
        <v>23</v>
      </c>
      <c r="L5" t="s">
        <v>11</v>
      </c>
      <c r="M5" t="s">
        <v>15</v>
      </c>
      <c r="N5" t="s">
        <v>13</v>
      </c>
      <c r="O5" t="s">
        <v>14</v>
      </c>
      <c r="P5" s="28">
        <v>1.17</v>
      </c>
      <c r="Q5" s="28">
        <v>911.12</v>
      </c>
      <c r="R5" s="37">
        <v>1768.53</v>
      </c>
      <c r="S5" s="13" t="s">
        <v>41</v>
      </c>
      <c r="T5" t="s">
        <v>23</v>
      </c>
      <c r="U5" t="s">
        <v>11</v>
      </c>
      <c r="V5" t="s">
        <v>17</v>
      </c>
      <c r="W5" t="s">
        <v>13</v>
      </c>
      <c r="X5" t="s">
        <v>20</v>
      </c>
      <c r="Y5" s="16">
        <v>1.31</v>
      </c>
      <c r="Z5" s="16">
        <v>995.87</v>
      </c>
      <c r="AA5" s="16">
        <v>2161.54</v>
      </c>
      <c r="AB5" s="13" t="s">
        <v>41</v>
      </c>
      <c r="AC5" t="s">
        <v>23</v>
      </c>
      <c r="AD5" t="s">
        <v>11</v>
      </c>
      <c r="AE5" t="s">
        <v>19</v>
      </c>
      <c r="AF5" t="s">
        <v>13</v>
      </c>
      <c r="AG5" t="s">
        <v>22</v>
      </c>
      <c r="AH5" s="14">
        <v>0.55000000000000004</v>
      </c>
      <c r="AI5" s="14">
        <v>466.15</v>
      </c>
      <c r="AJ5" s="14">
        <v>1375.52</v>
      </c>
      <c r="AK5" s="13" t="s">
        <v>41</v>
      </c>
      <c r="AL5" t="s">
        <v>23</v>
      </c>
      <c r="AM5" t="s">
        <v>11</v>
      </c>
      <c r="AN5" t="s">
        <v>21</v>
      </c>
      <c r="AO5" t="s">
        <v>13</v>
      </c>
      <c r="AP5" s="7" t="s">
        <v>16</v>
      </c>
      <c r="AQ5" s="14">
        <v>0.09</v>
      </c>
      <c r="AR5" s="14">
        <v>84.76</v>
      </c>
      <c r="AS5" s="18">
        <v>393.01</v>
      </c>
    </row>
    <row r="6" spans="1:45" x14ac:dyDescent="0.25">
      <c r="A6" s="13" t="s">
        <v>42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s="16">
        <v>0.26</v>
      </c>
      <c r="H6" s="16">
        <v>233.08</v>
      </c>
      <c r="I6" s="16">
        <v>1572.03</v>
      </c>
      <c r="J6" s="13" t="s">
        <v>42</v>
      </c>
      <c r="K6" t="s">
        <v>10</v>
      </c>
      <c r="L6" t="s">
        <v>11</v>
      </c>
      <c r="M6" t="s">
        <v>15</v>
      </c>
      <c r="N6" t="s">
        <v>13</v>
      </c>
      <c r="O6" t="s">
        <v>20</v>
      </c>
      <c r="P6" s="28">
        <v>0.96</v>
      </c>
      <c r="Q6" s="28">
        <v>826.36</v>
      </c>
      <c r="R6" s="37">
        <v>4126.57</v>
      </c>
      <c r="S6" s="13" t="s">
        <v>42</v>
      </c>
      <c r="T6" t="s">
        <v>10</v>
      </c>
      <c r="U6" t="s">
        <v>11</v>
      </c>
      <c r="V6" t="s">
        <v>17</v>
      </c>
      <c r="W6" t="s">
        <v>13</v>
      </c>
      <c r="X6" t="s">
        <v>14</v>
      </c>
      <c r="Y6" s="14">
        <v>0.61</v>
      </c>
      <c r="Z6" s="14">
        <v>593.29</v>
      </c>
      <c r="AA6" s="14">
        <v>3733.57</v>
      </c>
      <c r="AB6" s="13" t="s">
        <v>42</v>
      </c>
      <c r="AC6" t="s">
        <v>10</v>
      </c>
      <c r="AD6" t="s">
        <v>11</v>
      </c>
      <c r="AE6" t="s">
        <v>19</v>
      </c>
      <c r="AF6" t="s">
        <v>13</v>
      </c>
      <c r="AG6" t="s">
        <v>16</v>
      </c>
      <c r="AH6">
        <v>8.6999999999999994E-2</v>
      </c>
      <c r="AI6" s="34">
        <v>61.3</v>
      </c>
      <c r="AJ6">
        <v>499.3</v>
      </c>
      <c r="AK6" s="13" t="s">
        <v>42</v>
      </c>
      <c r="AL6" t="s">
        <v>10</v>
      </c>
      <c r="AM6" t="s">
        <v>11</v>
      </c>
      <c r="AN6" t="s">
        <v>21</v>
      </c>
      <c r="AO6" t="s">
        <v>13</v>
      </c>
      <c r="AP6" s="7" t="s">
        <v>22</v>
      </c>
      <c r="AQ6" s="14">
        <v>0.26</v>
      </c>
      <c r="AR6" s="14">
        <v>219.51</v>
      </c>
      <c r="AS6" s="18">
        <v>1179.02</v>
      </c>
    </row>
    <row r="7" spans="1:45" x14ac:dyDescent="0.25">
      <c r="A7" s="13" t="s">
        <v>42</v>
      </c>
      <c r="B7" t="s">
        <v>23</v>
      </c>
      <c r="C7" t="s">
        <v>11</v>
      </c>
      <c r="D7" t="s">
        <v>12</v>
      </c>
      <c r="E7" t="s">
        <v>13</v>
      </c>
      <c r="F7" t="s">
        <v>14</v>
      </c>
      <c r="G7" s="16">
        <v>0.81</v>
      </c>
      <c r="H7" s="16">
        <v>656.85</v>
      </c>
      <c r="I7" s="16">
        <v>2161.54</v>
      </c>
      <c r="J7" s="13" t="s">
        <v>42</v>
      </c>
      <c r="K7" t="s">
        <v>23</v>
      </c>
      <c r="L7" t="s">
        <v>11</v>
      </c>
      <c r="M7" t="s">
        <v>15</v>
      </c>
      <c r="N7" t="s">
        <v>13</v>
      </c>
      <c r="O7" t="s">
        <v>22</v>
      </c>
      <c r="P7" s="28">
        <v>1.85</v>
      </c>
      <c r="Q7" s="28">
        <v>1377.27</v>
      </c>
      <c r="R7" s="37">
        <v>2554.5500000000002</v>
      </c>
      <c r="S7" s="13" t="s">
        <v>42</v>
      </c>
      <c r="T7" t="s">
        <v>23</v>
      </c>
      <c r="U7" t="s">
        <v>11</v>
      </c>
      <c r="V7" t="s">
        <v>17</v>
      </c>
      <c r="W7" t="s">
        <v>13</v>
      </c>
      <c r="X7" t="s">
        <v>20</v>
      </c>
      <c r="Y7" s="16">
        <v>1.42</v>
      </c>
      <c r="Z7" s="16">
        <v>1038.25</v>
      </c>
      <c r="AA7" s="16">
        <v>1572.03</v>
      </c>
      <c r="AB7" s="13" t="s">
        <v>42</v>
      </c>
      <c r="AC7" t="s">
        <v>23</v>
      </c>
      <c r="AD7" t="s">
        <v>11</v>
      </c>
      <c r="AE7" t="s">
        <v>19</v>
      </c>
      <c r="AF7" t="s">
        <v>13</v>
      </c>
      <c r="AG7" t="s">
        <v>16</v>
      </c>
      <c r="AH7" s="14">
        <v>0.69</v>
      </c>
      <c r="AI7" s="14">
        <v>529.72</v>
      </c>
      <c r="AJ7" s="14">
        <v>1179.02</v>
      </c>
      <c r="AK7" s="13" t="s">
        <v>42</v>
      </c>
      <c r="AL7" t="s">
        <v>23</v>
      </c>
      <c r="AM7" t="s">
        <v>11</v>
      </c>
      <c r="AN7" t="s">
        <v>21</v>
      </c>
      <c r="AO7" t="s">
        <v>13</v>
      </c>
      <c r="AP7" s="7" t="s">
        <v>18</v>
      </c>
      <c r="AQ7" s="16" t="s">
        <v>26</v>
      </c>
      <c r="AR7" s="16" t="s">
        <v>26</v>
      </c>
      <c r="AS7" s="30" t="s">
        <v>26</v>
      </c>
    </row>
    <row r="8" spans="1:45" x14ac:dyDescent="0.25">
      <c r="A8" s="13" t="s">
        <v>43</v>
      </c>
      <c r="B8" t="s">
        <v>10</v>
      </c>
      <c r="C8" t="s">
        <v>11</v>
      </c>
      <c r="D8" t="s">
        <v>12</v>
      </c>
      <c r="E8" t="s">
        <v>13</v>
      </c>
      <c r="F8" t="s">
        <v>22</v>
      </c>
      <c r="G8" s="16">
        <v>0.28999999999999998</v>
      </c>
      <c r="H8" s="16">
        <v>360.21</v>
      </c>
      <c r="I8" s="16">
        <v>2554.5500000000002</v>
      </c>
      <c r="J8" s="13" t="s">
        <v>43</v>
      </c>
      <c r="K8" t="s">
        <v>10</v>
      </c>
      <c r="L8" t="s">
        <v>11</v>
      </c>
      <c r="M8" t="s">
        <v>15</v>
      </c>
      <c r="N8" t="s">
        <v>13</v>
      </c>
      <c r="O8" t="s">
        <v>14</v>
      </c>
      <c r="P8" s="28">
        <v>1.4</v>
      </c>
      <c r="Q8" s="28">
        <v>1186.57</v>
      </c>
      <c r="R8" s="37">
        <v>2751.05</v>
      </c>
      <c r="S8" s="13" t="s">
        <v>43</v>
      </c>
      <c r="T8" t="s">
        <v>10</v>
      </c>
      <c r="U8" t="s">
        <v>11</v>
      </c>
      <c r="V8" t="s">
        <v>17</v>
      </c>
      <c r="W8" t="s">
        <v>13</v>
      </c>
      <c r="X8" t="s">
        <v>20</v>
      </c>
      <c r="Y8" s="16">
        <v>0.68</v>
      </c>
      <c r="Z8" s="16">
        <v>614.48</v>
      </c>
      <c r="AA8" s="16">
        <v>1572.03</v>
      </c>
      <c r="AB8" s="13" t="s">
        <v>43</v>
      </c>
      <c r="AC8" t="s">
        <v>10</v>
      </c>
      <c r="AD8" t="s">
        <v>11</v>
      </c>
      <c r="AE8" t="s">
        <v>19</v>
      </c>
      <c r="AF8" t="s">
        <v>13</v>
      </c>
      <c r="AG8" t="s">
        <v>18</v>
      </c>
      <c r="AH8" s="14">
        <v>0.34</v>
      </c>
      <c r="AI8" s="14">
        <v>343.64</v>
      </c>
      <c r="AJ8" s="14">
        <v>1263.02</v>
      </c>
      <c r="AK8" s="13" t="s">
        <v>43</v>
      </c>
      <c r="AL8" t="s">
        <v>10</v>
      </c>
      <c r="AM8" t="s">
        <v>11</v>
      </c>
      <c r="AN8" t="s">
        <v>21</v>
      </c>
      <c r="AO8" t="s">
        <v>13</v>
      </c>
      <c r="AP8" s="7" t="s">
        <v>16</v>
      </c>
      <c r="AQ8" s="14">
        <v>0.19</v>
      </c>
      <c r="AR8" s="14">
        <v>148.32</v>
      </c>
      <c r="AS8" s="18">
        <v>393.01</v>
      </c>
    </row>
    <row r="9" spans="1:45" x14ac:dyDescent="0.25">
      <c r="A9" s="13" t="s">
        <v>43</v>
      </c>
      <c r="B9" t="s">
        <v>23</v>
      </c>
      <c r="C9" t="s">
        <v>11</v>
      </c>
      <c r="D9" t="s">
        <v>12</v>
      </c>
      <c r="E9" t="s">
        <v>13</v>
      </c>
      <c r="F9" t="s">
        <v>22</v>
      </c>
      <c r="G9" s="16">
        <v>0.27</v>
      </c>
      <c r="H9" s="16">
        <v>254.27</v>
      </c>
      <c r="I9" s="16">
        <v>1965.03</v>
      </c>
      <c r="J9" s="13" t="s">
        <v>43</v>
      </c>
      <c r="K9" t="s">
        <v>23</v>
      </c>
      <c r="L9" t="s">
        <v>11</v>
      </c>
      <c r="M9" t="s">
        <v>15</v>
      </c>
      <c r="N9" t="s">
        <v>13</v>
      </c>
      <c r="O9" t="s">
        <v>18</v>
      </c>
      <c r="P9" s="28">
        <v>1.1200000000000001</v>
      </c>
      <c r="Q9" s="28">
        <v>995.87</v>
      </c>
      <c r="R9" s="37">
        <v>2751.05</v>
      </c>
      <c r="S9" s="13" t="s">
        <v>43</v>
      </c>
      <c r="T9" t="s">
        <v>23</v>
      </c>
      <c r="U9" t="s">
        <v>11</v>
      </c>
      <c r="V9" t="s">
        <v>17</v>
      </c>
      <c r="W9" t="s">
        <v>13</v>
      </c>
      <c r="X9" t="s">
        <v>16</v>
      </c>
      <c r="Y9" s="16">
        <v>0.55000000000000004</v>
      </c>
      <c r="Z9" s="16">
        <v>508.53</v>
      </c>
      <c r="AA9" s="16">
        <v>1375.52</v>
      </c>
      <c r="AB9" s="13" t="s">
        <v>43</v>
      </c>
      <c r="AC9" t="s">
        <v>23</v>
      </c>
      <c r="AD9" t="s">
        <v>11</v>
      </c>
      <c r="AE9" t="s">
        <v>19</v>
      </c>
      <c r="AF9" t="s">
        <v>13</v>
      </c>
      <c r="AG9" t="s">
        <v>20</v>
      </c>
      <c r="AH9" s="14">
        <v>0.53</v>
      </c>
      <c r="AI9" s="14">
        <v>487.34</v>
      </c>
      <c r="AJ9" s="14">
        <v>1965.03</v>
      </c>
      <c r="AK9" s="13" t="s">
        <v>43</v>
      </c>
      <c r="AL9" t="s">
        <v>23</v>
      </c>
      <c r="AM9" t="s">
        <v>11</v>
      </c>
      <c r="AN9" t="s">
        <v>21</v>
      </c>
      <c r="AO9" t="s">
        <v>13</v>
      </c>
      <c r="AP9" s="7" t="s">
        <v>14</v>
      </c>
      <c r="AQ9" s="14">
        <v>0.32</v>
      </c>
      <c r="AR9" s="14">
        <v>275.45</v>
      </c>
      <c r="AS9" s="18">
        <v>1375.52</v>
      </c>
    </row>
    <row r="10" spans="1:45" x14ac:dyDescent="0.25">
      <c r="A10" s="13" t="s">
        <v>44</v>
      </c>
      <c r="B10" t="s">
        <v>10</v>
      </c>
      <c r="C10" t="s">
        <v>11</v>
      </c>
      <c r="D10" t="s">
        <v>12</v>
      </c>
      <c r="E10" t="s">
        <v>13</v>
      </c>
      <c r="F10" t="s">
        <v>16</v>
      </c>
      <c r="G10" s="16">
        <v>0.96</v>
      </c>
      <c r="H10" s="16">
        <v>847.55</v>
      </c>
      <c r="I10" s="16">
        <v>2751.05</v>
      </c>
      <c r="J10" s="13" t="s">
        <v>44</v>
      </c>
      <c r="K10" t="s">
        <v>10</v>
      </c>
      <c r="L10" t="s">
        <v>11</v>
      </c>
      <c r="M10" t="s">
        <v>15</v>
      </c>
      <c r="N10" t="s">
        <v>13</v>
      </c>
      <c r="O10" t="s">
        <v>14</v>
      </c>
      <c r="P10" s="28">
        <v>1.1499999999999999</v>
      </c>
      <c r="Q10" s="28">
        <v>932.31</v>
      </c>
      <c r="R10" s="37">
        <v>1768.53</v>
      </c>
      <c r="S10" s="13" t="s">
        <v>44</v>
      </c>
      <c r="T10" t="s">
        <v>10</v>
      </c>
      <c r="U10" t="s">
        <v>11</v>
      </c>
      <c r="V10" t="s">
        <v>17</v>
      </c>
      <c r="W10" t="s">
        <v>13</v>
      </c>
      <c r="X10" t="s">
        <v>18</v>
      </c>
      <c r="Y10" s="16">
        <v>0.43</v>
      </c>
      <c r="Z10" s="16">
        <v>402.59</v>
      </c>
      <c r="AA10" s="16">
        <v>1375.52</v>
      </c>
      <c r="AB10" s="13" t="s">
        <v>44</v>
      </c>
      <c r="AC10" t="s">
        <v>10</v>
      </c>
      <c r="AD10" t="s">
        <v>11</v>
      </c>
      <c r="AE10" t="s">
        <v>19</v>
      </c>
      <c r="AF10" t="s">
        <v>13</v>
      </c>
      <c r="AG10" t="s">
        <v>22</v>
      </c>
      <c r="AH10" s="14">
        <v>0.68</v>
      </c>
      <c r="AI10" s="14">
        <v>635.66</v>
      </c>
      <c r="AJ10" s="14">
        <v>2161.54</v>
      </c>
      <c r="AK10" s="13" t="s">
        <v>44</v>
      </c>
      <c r="AL10" t="s">
        <v>10</v>
      </c>
      <c r="AM10" t="s">
        <v>11</v>
      </c>
      <c r="AN10" t="s">
        <v>21</v>
      </c>
      <c r="AO10" t="s">
        <v>13</v>
      </c>
      <c r="AP10" s="7" t="s">
        <v>20</v>
      </c>
      <c r="AQ10" s="14">
        <v>0.32</v>
      </c>
      <c r="AR10" s="14">
        <v>317.83</v>
      </c>
      <c r="AS10" s="18">
        <v>1375.52</v>
      </c>
    </row>
    <row r="11" spans="1:45" x14ac:dyDescent="0.25">
      <c r="A11" s="13" t="s">
        <v>44</v>
      </c>
      <c r="B11" t="s">
        <v>23</v>
      </c>
      <c r="C11" t="s">
        <v>11</v>
      </c>
      <c r="D11" t="s">
        <v>12</v>
      </c>
      <c r="E11" t="s">
        <v>13</v>
      </c>
      <c r="F11" t="s">
        <v>18</v>
      </c>
      <c r="G11" s="16">
        <v>1.48</v>
      </c>
      <c r="H11" s="16">
        <v>1250.1400000000001</v>
      </c>
      <c r="I11" s="16">
        <v>4126.57</v>
      </c>
      <c r="J11" s="13" t="s">
        <v>44</v>
      </c>
      <c r="K11" t="s">
        <v>23</v>
      </c>
      <c r="L11" t="s">
        <v>11</v>
      </c>
      <c r="M11" t="s">
        <v>15</v>
      </c>
      <c r="N11" t="s">
        <v>13</v>
      </c>
      <c r="O11" t="s">
        <v>14</v>
      </c>
      <c r="P11" s="28">
        <v>1.19</v>
      </c>
      <c r="Q11" s="28">
        <v>995.87</v>
      </c>
      <c r="R11" s="37">
        <v>2554.5500000000002</v>
      </c>
      <c r="S11" s="13" t="s">
        <v>44</v>
      </c>
      <c r="T11" t="s">
        <v>23</v>
      </c>
      <c r="U11" t="s">
        <v>11</v>
      </c>
      <c r="V11" t="s">
        <v>17</v>
      </c>
      <c r="W11" t="s">
        <v>13</v>
      </c>
      <c r="X11" t="s">
        <v>20</v>
      </c>
      <c r="Y11" s="16">
        <v>0.33</v>
      </c>
      <c r="Z11" s="16">
        <v>275.45</v>
      </c>
      <c r="AA11" s="16">
        <v>786.01</v>
      </c>
      <c r="AB11" s="13" t="s">
        <v>44</v>
      </c>
      <c r="AC11" t="s">
        <v>23</v>
      </c>
      <c r="AD11" t="s">
        <v>11</v>
      </c>
      <c r="AE11" t="s">
        <v>19</v>
      </c>
      <c r="AF11" t="s">
        <v>13</v>
      </c>
      <c r="AG11" t="s">
        <v>16</v>
      </c>
      <c r="AH11" s="14">
        <v>0.59</v>
      </c>
      <c r="AI11" s="14">
        <v>466.15</v>
      </c>
      <c r="AJ11" s="14">
        <v>1375.52</v>
      </c>
      <c r="AK11" s="13" t="s">
        <v>44</v>
      </c>
      <c r="AL11" t="s">
        <v>23</v>
      </c>
      <c r="AM11" t="s">
        <v>11</v>
      </c>
      <c r="AN11" t="s">
        <v>21</v>
      </c>
      <c r="AO11" t="s">
        <v>13</v>
      </c>
      <c r="AP11" s="7" t="s">
        <v>22</v>
      </c>
      <c r="AQ11" s="14">
        <v>0.57999999999999996</v>
      </c>
      <c r="AR11" s="14">
        <v>444.97</v>
      </c>
      <c r="AS11" s="18">
        <v>1179.02</v>
      </c>
    </row>
    <row r="12" spans="1:45" x14ac:dyDescent="0.25">
      <c r="A12" s="13" t="s">
        <v>45</v>
      </c>
      <c r="B12" t="s">
        <v>10</v>
      </c>
      <c r="C12" t="s">
        <v>11</v>
      </c>
      <c r="D12" t="s">
        <v>12</v>
      </c>
      <c r="E12" t="s">
        <v>13</v>
      </c>
      <c r="F12" t="s">
        <v>22</v>
      </c>
      <c r="G12" s="16">
        <v>0.16</v>
      </c>
      <c r="H12" s="16">
        <v>148.32</v>
      </c>
      <c r="I12" s="16">
        <v>786.01</v>
      </c>
      <c r="J12" s="13" t="s">
        <v>45</v>
      </c>
      <c r="K12" t="s">
        <v>10</v>
      </c>
      <c r="L12" t="s">
        <v>11</v>
      </c>
      <c r="M12" t="s">
        <v>15</v>
      </c>
      <c r="N12" t="s">
        <v>13</v>
      </c>
      <c r="O12" t="s">
        <v>14</v>
      </c>
      <c r="P12" s="28">
        <v>1.53</v>
      </c>
      <c r="Q12" s="28">
        <v>1144.2</v>
      </c>
      <c r="R12" s="37">
        <v>2554.5500000000002</v>
      </c>
      <c r="S12" s="13" t="s">
        <v>45</v>
      </c>
      <c r="T12" t="s">
        <v>10</v>
      </c>
      <c r="U12" t="s">
        <v>11</v>
      </c>
      <c r="V12" t="s">
        <v>17</v>
      </c>
      <c r="W12" t="s">
        <v>13</v>
      </c>
      <c r="X12" t="s">
        <v>16</v>
      </c>
      <c r="Y12" s="16">
        <v>0.52</v>
      </c>
      <c r="Z12" s="16">
        <v>423.78</v>
      </c>
      <c r="AA12" s="16">
        <v>982.52</v>
      </c>
      <c r="AB12" s="13" t="s">
        <v>45</v>
      </c>
      <c r="AC12" t="s">
        <v>10</v>
      </c>
      <c r="AD12" t="s">
        <v>11</v>
      </c>
      <c r="AE12" t="s">
        <v>19</v>
      </c>
      <c r="AF12" t="s">
        <v>13</v>
      </c>
      <c r="AG12" t="s">
        <v>20</v>
      </c>
      <c r="AH12" s="14">
        <v>0.51</v>
      </c>
      <c r="AI12" s="14">
        <v>402.59</v>
      </c>
      <c r="AJ12" s="14">
        <v>982.52</v>
      </c>
      <c r="AK12" s="13" t="s">
        <v>45</v>
      </c>
      <c r="AL12" t="s">
        <v>10</v>
      </c>
      <c r="AM12" t="s">
        <v>11</v>
      </c>
      <c r="AN12" t="s">
        <v>21</v>
      </c>
      <c r="AO12" t="s">
        <v>13</v>
      </c>
      <c r="AP12" s="7" t="s">
        <v>18</v>
      </c>
      <c r="AQ12" s="14">
        <v>0.23</v>
      </c>
      <c r="AR12" s="14">
        <v>211.89</v>
      </c>
      <c r="AS12" s="18">
        <v>786.01</v>
      </c>
    </row>
    <row r="13" spans="1:45" x14ac:dyDescent="0.25">
      <c r="A13" s="13" t="s">
        <v>45</v>
      </c>
      <c r="B13" t="s">
        <v>23</v>
      </c>
      <c r="C13" t="s">
        <v>11</v>
      </c>
      <c r="D13" t="s">
        <v>12</v>
      </c>
      <c r="E13" t="s">
        <v>13</v>
      </c>
      <c r="F13" t="s">
        <v>14</v>
      </c>
      <c r="G13" s="16">
        <v>0.83</v>
      </c>
      <c r="H13" s="16">
        <v>720.42</v>
      </c>
      <c r="I13" s="16">
        <v>2358.04</v>
      </c>
      <c r="J13" s="13" t="s">
        <v>45</v>
      </c>
      <c r="K13" t="s">
        <v>23</v>
      </c>
      <c r="L13" t="s">
        <v>11</v>
      </c>
      <c r="M13" t="s">
        <v>15</v>
      </c>
      <c r="N13" t="s">
        <v>13</v>
      </c>
      <c r="O13" t="s">
        <v>20</v>
      </c>
      <c r="P13" s="28">
        <v>1.19</v>
      </c>
      <c r="Q13" s="28">
        <v>974.69</v>
      </c>
      <c r="R13" s="37">
        <v>2161.54</v>
      </c>
      <c r="S13" s="13" t="s">
        <v>45</v>
      </c>
      <c r="T13" t="s">
        <v>23</v>
      </c>
      <c r="U13" t="s">
        <v>11</v>
      </c>
      <c r="V13" t="s">
        <v>17</v>
      </c>
      <c r="W13" t="s">
        <v>13</v>
      </c>
      <c r="X13" t="s">
        <v>22</v>
      </c>
      <c r="Y13" s="16" t="s">
        <v>26</v>
      </c>
      <c r="Z13" s="16" t="s">
        <v>26</v>
      </c>
      <c r="AA13" s="16" t="s">
        <v>26</v>
      </c>
      <c r="AB13" s="13" t="s">
        <v>45</v>
      </c>
      <c r="AC13" t="s">
        <v>23</v>
      </c>
      <c r="AD13" t="s">
        <v>11</v>
      </c>
      <c r="AE13" t="s">
        <v>19</v>
      </c>
      <c r="AF13" t="s">
        <v>13</v>
      </c>
      <c r="AG13" t="s">
        <v>18</v>
      </c>
      <c r="AH13" s="14">
        <v>0.38</v>
      </c>
      <c r="AI13" s="14">
        <v>317.83</v>
      </c>
      <c r="AJ13" s="14">
        <v>786.01</v>
      </c>
      <c r="AK13" s="13" t="s">
        <v>45</v>
      </c>
      <c r="AL13" t="s">
        <v>23</v>
      </c>
      <c r="AM13" t="s">
        <v>11</v>
      </c>
      <c r="AN13" t="s">
        <v>21</v>
      </c>
      <c r="AO13" t="s">
        <v>13</v>
      </c>
      <c r="AP13" s="7" t="s">
        <v>16</v>
      </c>
      <c r="AQ13" s="16" t="s">
        <v>26</v>
      </c>
      <c r="AR13" s="16" t="s">
        <v>26</v>
      </c>
      <c r="AS13" s="30" t="s">
        <v>26</v>
      </c>
    </row>
    <row r="14" spans="1:45" x14ac:dyDescent="0.25">
      <c r="A14" s="13" t="s">
        <v>40</v>
      </c>
      <c r="B14" t="s">
        <v>30</v>
      </c>
      <c r="C14" t="s">
        <v>11</v>
      </c>
      <c r="D14" t="s">
        <v>12</v>
      </c>
      <c r="E14" t="s">
        <v>31</v>
      </c>
      <c r="F14" t="s">
        <v>14</v>
      </c>
      <c r="G14" s="16">
        <v>1.28</v>
      </c>
      <c r="H14" s="16">
        <v>995.87</v>
      </c>
      <c r="I14" s="16">
        <v>2751.05</v>
      </c>
      <c r="J14" s="13" t="s">
        <v>40</v>
      </c>
      <c r="K14" t="s">
        <v>30</v>
      </c>
      <c r="L14" t="s">
        <v>11</v>
      </c>
      <c r="M14" t="s">
        <v>15</v>
      </c>
      <c r="N14" t="s">
        <v>31</v>
      </c>
      <c r="O14" t="s">
        <v>16</v>
      </c>
      <c r="P14" s="28">
        <v>0.35</v>
      </c>
      <c r="Q14" s="28">
        <v>275.45</v>
      </c>
      <c r="R14" s="37">
        <v>786.01</v>
      </c>
      <c r="S14" s="13" t="s">
        <v>40</v>
      </c>
      <c r="T14" t="s">
        <v>30</v>
      </c>
      <c r="U14" t="s">
        <v>11</v>
      </c>
      <c r="V14" t="s">
        <v>17</v>
      </c>
      <c r="W14" t="s">
        <v>31</v>
      </c>
      <c r="X14" t="s">
        <v>18</v>
      </c>
      <c r="Y14" s="16">
        <v>0.89</v>
      </c>
      <c r="Z14" s="16">
        <v>720.42</v>
      </c>
      <c r="AA14" s="16">
        <v>1768.53</v>
      </c>
      <c r="AB14" s="13" t="s">
        <v>40</v>
      </c>
      <c r="AC14" t="s">
        <v>30</v>
      </c>
      <c r="AD14" t="s">
        <v>11</v>
      </c>
      <c r="AE14" t="s">
        <v>19</v>
      </c>
      <c r="AF14" t="s">
        <v>31</v>
      </c>
      <c r="AG14" t="s">
        <v>20</v>
      </c>
      <c r="AH14" s="14">
        <v>0.44</v>
      </c>
      <c r="AI14" s="14">
        <v>339.02</v>
      </c>
      <c r="AJ14" s="14">
        <v>786.01</v>
      </c>
      <c r="AK14" s="13" t="s">
        <v>40</v>
      </c>
      <c r="AL14" t="s">
        <v>30</v>
      </c>
      <c r="AM14" t="s">
        <v>11</v>
      </c>
      <c r="AN14" t="s">
        <v>21</v>
      </c>
      <c r="AO14" t="s">
        <v>31</v>
      </c>
      <c r="AP14" s="7" t="s">
        <v>22</v>
      </c>
      <c r="AQ14" s="16" t="s">
        <v>26</v>
      </c>
      <c r="AR14" s="16" t="s">
        <v>26</v>
      </c>
      <c r="AS14" s="30" t="s">
        <v>26</v>
      </c>
    </row>
    <row r="15" spans="1:45" x14ac:dyDescent="0.25">
      <c r="A15" s="13" t="s">
        <v>40</v>
      </c>
      <c r="B15" t="s">
        <v>32</v>
      </c>
      <c r="C15" t="s">
        <v>11</v>
      </c>
      <c r="D15" t="s">
        <v>12</v>
      </c>
      <c r="E15" t="s">
        <v>31</v>
      </c>
      <c r="F15" t="s">
        <v>18</v>
      </c>
      <c r="G15" s="16">
        <v>1.93</v>
      </c>
      <c r="H15" s="16">
        <v>1462.03</v>
      </c>
      <c r="I15" s="16">
        <v>2358.04</v>
      </c>
      <c r="J15" s="13" t="s">
        <v>40</v>
      </c>
      <c r="K15" t="s">
        <v>32</v>
      </c>
      <c r="L15" t="s">
        <v>11</v>
      </c>
      <c r="M15" t="s">
        <v>15</v>
      </c>
      <c r="N15" t="s">
        <v>31</v>
      </c>
      <c r="O15" t="s">
        <v>14</v>
      </c>
      <c r="P15" s="28">
        <v>0.44</v>
      </c>
      <c r="Q15" s="28">
        <v>339.02</v>
      </c>
      <c r="R15" s="37">
        <v>786.01</v>
      </c>
      <c r="S15" s="13" t="s">
        <v>40</v>
      </c>
      <c r="T15" t="s">
        <v>32</v>
      </c>
      <c r="U15" t="s">
        <v>11</v>
      </c>
      <c r="V15" t="s">
        <v>17</v>
      </c>
      <c r="W15" t="s">
        <v>31</v>
      </c>
      <c r="X15" t="s">
        <v>22</v>
      </c>
      <c r="Y15" s="16">
        <v>2.16</v>
      </c>
      <c r="Z15" s="16">
        <v>1716.29</v>
      </c>
      <c r="AA15" s="16">
        <v>3144.06</v>
      </c>
      <c r="AB15" s="13" t="s">
        <v>40</v>
      </c>
      <c r="AC15" t="s">
        <v>32</v>
      </c>
      <c r="AD15" t="s">
        <v>11</v>
      </c>
      <c r="AE15" t="s">
        <v>19</v>
      </c>
      <c r="AF15" t="s">
        <v>31</v>
      </c>
      <c r="AG15" t="s">
        <v>16</v>
      </c>
      <c r="AH15">
        <v>0.09</v>
      </c>
      <c r="AI15" s="34">
        <v>61.01</v>
      </c>
      <c r="AJ15">
        <v>146.85</v>
      </c>
      <c r="AK15" s="13" t="s">
        <v>40</v>
      </c>
      <c r="AL15" t="s">
        <v>32</v>
      </c>
      <c r="AM15" t="s">
        <v>11</v>
      </c>
      <c r="AN15" t="s">
        <v>21</v>
      </c>
      <c r="AO15" t="s">
        <v>31</v>
      </c>
      <c r="AP15" s="7" t="s">
        <v>20</v>
      </c>
      <c r="AQ15" s="16" t="s">
        <v>26</v>
      </c>
      <c r="AR15" s="16" t="s">
        <v>26</v>
      </c>
      <c r="AS15" s="30" t="s">
        <v>26</v>
      </c>
    </row>
    <row r="16" spans="1:45" x14ac:dyDescent="0.25">
      <c r="A16" s="13" t="s">
        <v>41</v>
      </c>
      <c r="B16" t="s">
        <v>30</v>
      </c>
      <c r="C16" t="s">
        <v>11</v>
      </c>
      <c r="D16" t="s">
        <v>12</v>
      </c>
      <c r="E16" t="s">
        <v>31</v>
      </c>
      <c r="F16" t="s">
        <v>18</v>
      </c>
      <c r="G16" s="16">
        <v>0.21</v>
      </c>
      <c r="H16" s="16">
        <v>190.7</v>
      </c>
      <c r="I16" s="16">
        <v>589.51</v>
      </c>
      <c r="J16" s="13" t="s">
        <v>41</v>
      </c>
      <c r="K16" t="s">
        <v>30</v>
      </c>
      <c r="L16" t="s">
        <v>11</v>
      </c>
      <c r="M16" t="s">
        <v>15</v>
      </c>
      <c r="N16" t="s">
        <v>31</v>
      </c>
      <c r="O16" t="s">
        <v>20</v>
      </c>
      <c r="P16" s="28">
        <v>0.92</v>
      </c>
      <c r="Q16" s="28">
        <v>762.8</v>
      </c>
      <c r="R16" s="37">
        <v>1965.03</v>
      </c>
      <c r="S16" s="13" t="s">
        <v>41</v>
      </c>
      <c r="T16" t="s">
        <v>30</v>
      </c>
      <c r="U16" t="s">
        <v>11</v>
      </c>
      <c r="V16" t="s">
        <v>17</v>
      </c>
      <c r="W16" t="s">
        <v>31</v>
      </c>
      <c r="X16" t="s">
        <v>14</v>
      </c>
      <c r="Y16" s="16">
        <v>1.1200000000000001</v>
      </c>
      <c r="Z16" s="16">
        <v>826.36</v>
      </c>
      <c r="AA16" s="16">
        <v>1768.53</v>
      </c>
      <c r="AB16" s="13" t="s">
        <v>41</v>
      </c>
      <c r="AC16" t="s">
        <v>30</v>
      </c>
      <c r="AD16" t="s">
        <v>11</v>
      </c>
      <c r="AE16" t="s">
        <v>19</v>
      </c>
      <c r="AF16" t="s">
        <v>31</v>
      </c>
      <c r="AG16" t="s">
        <v>16</v>
      </c>
      <c r="AH16" s="14">
        <v>0.51</v>
      </c>
      <c r="AI16" s="14">
        <v>423.78</v>
      </c>
      <c r="AJ16" s="14">
        <v>1375.52</v>
      </c>
      <c r="AK16" s="13" t="s">
        <v>41</v>
      </c>
      <c r="AL16" t="s">
        <v>30</v>
      </c>
      <c r="AM16" t="s">
        <v>11</v>
      </c>
      <c r="AN16" t="s">
        <v>21</v>
      </c>
      <c r="AO16" t="s">
        <v>31</v>
      </c>
      <c r="AP16" s="36" t="s">
        <v>22</v>
      </c>
      <c r="AQ16" s="16" t="s">
        <v>26</v>
      </c>
      <c r="AR16" s="16" t="s">
        <v>26</v>
      </c>
      <c r="AS16" s="30" t="s">
        <v>26</v>
      </c>
    </row>
    <row r="17" spans="1:45" x14ac:dyDescent="0.25">
      <c r="A17" s="13" t="s">
        <v>41</v>
      </c>
      <c r="B17" t="s">
        <v>32</v>
      </c>
      <c r="C17" t="s">
        <v>11</v>
      </c>
      <c r="D17" t="s">
        <v>12</v>
      </c>
      <c r="E17" t="s">
        <v>31</v>
      </c>
      <c r="F17" t="s">
        <v>18</v>
      </c>
      <c r="G17" s="16">
        <v>0.96</v>
      </c>
      <c r="H17" s="16">
        <v>699.23</v>
      </c>
      <c r="I17" s="16">
        <v>1572.03</v>
      </c>
      <c r="J17" s="13" t="s">
        <v>41</v>
      </c>
      <c r="K17" t="s">
        <v>32</v>
      </c>
      <c r="L17" t="s">
        <v>11</v>
      </c>
      <c r="M17" t="s">
        <v>15</v>
      </c>
      <c r="N17" t="s">
        <v>31</v>
      </c>
      <c r="O17" t="s">
        <v>14</v>
      </c>
      <c r="P17" s="28">
        <v>0.56999999999999995</v>
      </c>
      <c r="Q17" s="28">
        <v>402.59</v>
      </c>
      <c r="R17" s="37">
        <v>786.01</v>
      </c>
      <c r="S17" s="13" t="s">
        <v>41</v>
      </c>
      <c r="T17" t="s">
        <v>32</v>
      </c>
      <c r="U17" t="s">
        <v>11</v>
      </c>
      <c r="V17" t="s">
        <v>17</v>
      </c>
      <c r="W17" t="s">
        <v>31</v>
      </c>
      <c r="X17" t="s">
        <v>20</v>
      </c>
      <c r="Y17" s="16">
        <v>1.78</v>
      </c>
      <c r="Z17" s="16">
        <v>1313.71</v>
      </c>
      <c r="AA17" s="16">
        <v>2554.5500000000002</v>
      </c>
      <c r="AB17" s="13" t="s">
        <v>41</v>
      </c>
      <c r="AC17" t="s">
        <v>32</v>
      </c>
      <c r="AD17" t="s">
        <v>11</v>
      </c>
      <c r="AE17" t="s">
        <v>19</v>
      </c>
      <c r="AF17" t="s">
        <v>31</v>
      </c>
      <c r="AG17" t="s">
        <v>22</v>
      </c>
      <c r="AH17" s="14">
        <v>0.77</v>
      </c>
      <c r="AI17" s="14">
        <v>572.1</v>
      </c>
      <c r="AJ17" s="14">
        <v>982.52</v>
      </c>
      <c r="AK17" s="13" t="s">
        <v>41</v>
      </c>
      <c r="AL17" t="s">
        <v>32</v>
      </c>
      <c r="AM17" t="s">
        <v>11</v>
      </c>
      <c r="AN17" t="s">
        <v>21</v>
      </c>
      <c r="AO17" t="s">
        <v>31</v>
      </c>
      <c r="AP17" s="7" t="s">
        <v>16</v>
      </c>
      <c r="AQ17" s="14">
        <v>0.17</v>
      </c>
      <c r="AR17" s="14">
        <v>148.32</v>
      </c>
      <c r="AS17" s="18">
        <v>393.01</v>
      </c>
    </row>
    <row r="18" spans="1:45" x14ac:dyDescent="0.25">
      <c r="A18" s="13" t="s">
        <v>42</v>
      </c>
      <c r="B18" t="s">
        <v>30</v>
      </c>
      <c r="C18" t="s">
        <v>11</v>
      </c>
      <c r="D18" t="s">
        <v>12</v>
      </c>
      <c r="E18" t="s">
        <v>31</v>
      </c>
      <c r="F18" t="s">
        <v>18</v>
      </c>
      <c r="G18" s="16">
        <v>0.54</v>
      </c>
      <c r="H18" s="16">
        <v>487.34</v>
      </c>
      <c r="I18" s="16">
        <v>1965.03</v>
      </c>
      <c r="J18" s="13" t="s">
        <v>42</v>
      </c>
      <c r="K18" t="s">
        <v>30</v>
      </c>
      <c r="L18" t="s">
        <v>11</v>
      </c>
      <c r="M18" t="s">
        <v>15</v>
      </c>
      <c r="N18" t="s">
        <v>31</v>
      </c>
      <c r="O18" t="s">
        <v>20</v>
      </c>
      <c r="P18" s="28">
        <v>1.73</v>
      </c>
      <c r="Q18" s="28">
        <v>1398.46</v>
      </c>
      <c r="R18" s="37">
        <v>3733.57</v>
      </c>
      <c r="S18" s="13" t="s">
        <v>42</v>
      </c>
      <c r="T18" t="s">
        <v>30</v>
      </c>
      <c r="U18" t="s">
        <v>11</v>
      </c>
      <c r="V18" t="s">
        <v>17</v>
      </c>
      <c r="W18" t="s">
        <v>31</v>
      </c>
      <c r="X18" t="s">
        <v>14</v>
      </c>
      <c r="Y18" s="16">
        <v>1.1200000000000001</v>
      </c>
      <c r="Z18" s="16">
        <v>911.12</v>
      </c>
      <c r="AA18" s="16">
        <v>2751.05</v>
      </c>
      <c r="AB18" s="13" t="s">
        <v>42</v>
      </c>
      <c r="AC18" t="s">
        <v>30</v>
      </c>
      <c r="AD18" t="s">
        <v>11</v>
      </c>
      <c r="AE18" t="s">
        <v>19</v>
      </c>
      <c r="AF18" t="s">
        <v>31</v>
      </c>
      <c r="AG18" t="s">
        <v>16</v>
      </c>
      <c r="AH18" s="14">
        <v>0.67</v>
      </c>
      <c r="AI18" s="14">
        <v>614.48</v>
      </c>
      <c r="AJ18" s="14">
        <v>1965.03</v>
      </c>
      <c r="AK18" s="13" t="s">
        <v>42</v>
      </c>
      <c r="AL18" t="s">
        <v>30</v>
      </c>
      <c r="AM18" t="s">
        <v>11</v>
      </c>
      <c r="AN18" t="s">
        <v>21</v>
      </c>
      <c r="AO18" t="s">
        <v>31</v>
      </c>
      <c r="AP18" s="7" t="s">
        <v>22</v>
      </c>
      <c r="AQ18" s="14">
        <v>0.22</v>
      </c>
      <c r="AR18" s="14">
        <v>190.7</v>
      </c>
      <c r="AS18" s="18">
        <v>589.51</v>
      </c>
    </row>
    <row r="19" spans="1:45" x14ac:dyDescent="0.25">
      <c r="A19" s="13" t="s">
        <v>42</v>
      </c>
      <c r="B19" t="s">
        <v>32</v>
      </c>
      <c r="C19" t="s">
        <v>11</v>
      </c>
      <c r="D19" t="s">
        <v>12</v>
      </c>
      <c r="E19" t="s">
        <v>31</v>
      </c>
      <c r="F19" t="s">
        <v>14</v>
      </c>
      <c r="G19" s="16">
        <v>0.66</v>
      </c>
      <c r="H19" s="16">
        <v>550.91</v>
      </c>
      <c r="I19" s="16">
        <v>1768.53</v>
      </c>
      <c r="J19" s="13" t="s">
        <v>42</v>
      </c>
      <c r="K19" t="s">
        <v>32</v>
      </c>
      <c r="L19" t="s">
        <v>11</v>
      </c>
      <c r="M19" t="s">
        <v>15</v>
      </c>
      <c r="N19" t="s">
        <v>31</v>
      </c>
      <c r="O19" t="s">
        <v>22</v>
      </c>
      <c r="P19" s="28">
        <v>1.1100000000000001</v>
      </c>
      <c r="Q19" s="28">
        <v>868.74</v>
      </c>
      <c r="R19" s="37">
        <v>1572.03</v>
      </c>
      <c r="S19" s="13" t="s">
        <v>42</v>
      </c>
      <c r="T19" t="s">
        <v>32</v>
      </c>
      <c r="U19" t="s">
        <v>11</v>
      </c>
      <c r="V19" t="s">
        <v>17</v>
      </c>
      <c r="W19" t="s">
        <v>31</v>
      </c>
      <c r="X19" t="s">
        <v>20</v>
      </c>
      <c r="Y19" s="16">
        <v>1.56</v>
      </c>
      <c r="Z19" s="16">
        <v>1207.76</v>
      </c>
      <c r="AA19" s="16">
        <v>2161.54</v>
      </c>
      <c r="AB19" s="13" t="s">
        <v>42</v>
      </c>
      <c r="AC19" t="s">
        <v>32</v>
      </c>
      <c r="AD19" t="s">
        <v>11</v>
      </c>
      <c r="AE19" t="s">
        <v>19</v>
      </c>
      <c r="AF19" t="s">
        <v>31</v>
      </c>
      <c r="AG19" t="s">
        <v>16</v>
      </c>
      <c r="AH19" s="14">
        <v>0.46</v>
      </c>
      <c r="AI19" s="14">
        <v>360.21</v>
      </c>
      <c r="AJ19" s="14">
        <v>786.01</v>
      </c>
      <c r="AK19" s="13" t="s">
        <v>42</v>
      </c>
      <c r="AL19" t="s">
        <v>32</v>
      </c>
      <c r="AM19" t="s">
        <v>11</v>
      </c>
      <c r="AN19" t="s">
        <v>21</v>
      </c>
      <c r="AO19" t="s">
        <v>31</v>
      </c>
      <c r="AP19" s="7" t="s">
        <v>18</v>
      </c>
      <c r="AQ19" s="14">
        <v>0.15</v>
      </c>
      <c r="AR19" s="14">
        <v>113.57</v>
      </c>
      <c r="AS19" s="18">
        <v>589.51</v>
      </c>
    </row>
    <row r="20" spans="1:45" x14ac:dyDescent="0.25">
      <c r="A20" s="13" t="s">
        <v>43</v>
      </c>
      <c r="B20" t="s">
        <v>30</v>
      </c>
      <c r="C20" t="s">
        <v>11</v>
      </c>
      <c r="D20" t="s">
        <v>12</v>
      </c>
      <c r="E20" t="s">
        <v>31</v>
      </c>
      <c r="F20" t="s">
        <v>22</v>
      </c>
      <c r="G20" s="16">
        <v>0.62</v>
      </c>
      <c r="H20" s="16">
        <v>593.29</v>
      </c>
      <c r="I20" s="16">
        <v>2751.05</v>
      </c>
      <c r="J20" s="13" t="s">
        <v>43</v>
      </c>
      <c r="K20" t="s">
        <v>30</v>
      </c>
      <c r="L20" t="s">
        <v>11</v>
      </c>
      <c r="M20" t="s">
        <v>15</v>
      </c>
      <c r="N20" t="s">
        <v>31</v>
      </c>
      <c r="O20" t="s">
        <v>14</v>
      </c>
      <c r="P20" s="28">
        <v>1.18</v>
      </c>
      <c r="Q20" s="28">
        <v>1250.1400000000001</v>
      </c>
      <c r="R20" s="37">
        <v>4519.58</v>
      </c>
      <c r="S20" s="13" t="s">
        <v>43</v>
      </c>
      <c r="T20" t="s">
        <v>30</v>
      </c>
      <c r="U20" t="s">
        <v>11</v>
      </c>
      <c r="V20" t="s">
        <v>17</v>
      </c>
      <c r="W20" t="s">
        <v>31</v>
      </c>
      <c r="X20" t="s">
        <v>20</v>
      </c>
      <c r="Y20" s="16">
        <v>0.89</v>
      </c>
      <c r="Z20" s="16">
        <v>699.23</v>
      </c>
      <c r="AA20" s="16">
        <v>1572.03</v>
      </c>
      <c r="AB20" s="13" t="s">
        <v>43</v>
      </c>
      <c r="AC20" t="s">
        <v>30</v>
      </c>
      <c r="AD20" t="s">
        <v>11</v>
      </c>
      <c r="AE20" t="s">
        <v>19</v>
      </c>
      <c r="AF20" t="s">
        <v>31</v>
      </c>
      <c r="AG20" t="s">
        <v>18</v>
      </c>
      <c r="AH20" s="14">
        <v>0.6</v>
      </c>
      <c r="AI20" s="14">
        <v>508.53</v>
      </c>
      <c r="AJ20" s="14">
        <v>1375.52</v>
      </c>
      <c r="AK20" s="13" t="s">
        <v>43</v>
      </c>
      <c r="AL20" t="s">
        <v>30</v>
      </c>
      <c r="AM20" t="s">
        <v>11</v>
      </c>
      <c r="AN20" t="s">
        <v>21</v>
      </c>
      <c r="AO20" t="s">
        <v>31</v>
      </c>
      <c r="AP20" s="7" t="s">
        <v>16</v>
      </c>
      <c r="AQ20" s="14">
        <v>0.1</v>
      </c>
      <c r="AR20" s="14">
        <v>84.76</v>
      </c>
      <c r="AS20" s="18">
        <v>393.01</v>
      </c>
    </row>
    <row r="21" spans="1:45" x14ac:dyDescent="0.25">
      <c r="A21" s="13" t="s">
        <v>43</v>
      </c>
      <c r="B21" t="s">
        <v>32</v>
      </c>
      <c r="C21" t="s">
        <v>11</v>
      </c>
      <c r="D21" t="s">
        <v>12</v>
      </c>
      <c r="E21" t="s">
        <v>31</v>
      </c>
      <c r="F21" t="s">
        <v>22</v>
      </c>
      <c r="G21" s="16">
        <v>0.64</v>
      </c>
      <c r="H21" s="16">
        <v>614.48</v>
      </c>
      <c r="I21" s="16">
        <v>2358.04</v>
      </c>
      <c r="J21" s="13" t="s">
        <v>43</v>
      </c>
      <c r="K21" t="s">
        <v>32</v>
      </c>
      <c r="L21" t="s">
        <v>11</v>
      </c>
      <c r="M21" t="s">
        <v>15</v>
      </c>
      <c r="N21" t="s">
        <v>31</v>
      </c>
      <c r="O21" t="s">
        <v>18</v>
      </c>
      <c r="P21" s="28">
        <v>0.42</v>
      </c>
      <c r="Q21" s="28">
        <v>360.21</v>
      </c>
      <c r="R21" s="37">
        <v>982.52</v>
      </c>
      <c r="S21" s="13" t="s">
        <v>43</v>
      </c>
      <c r="T21" t="s">
        <v>32</v>
      </c>
      <c r="U21" t="s">
        <v>11</v>
      </c>
      <c r="V21" t="s">
        <v>17</v>
      </c>
      <c r="W21" t="s">
        <v>31</v>
      </c>
      <c r="X21" t="s">
        <v>16</v>
      </c>
      <c r="Y21" s="16">
        <v>1.22</v>
      </c>
      <c r="Z21" s="16">
        <v>1038.25</v>
      </c>
      <c r="AA21" s="16">
        <v>2358.04</v>
      </c>
      <c r="AB21" s="13" t="s">
        <v>43</v>
      </c>
      <c r="AC21" t="s">
        <v>32</v>
      </c>
      <c r="AD21" t="s">
        <v>11</v>
      </c>
      <c r="AE21" t="s">
        <v>19</v>
      </c>
      <c r="AF21" t="s">
        <v>31</v>
      </c>
      <c r="AG21" t="s">
        <v>20</v>
      </c>
      <c r="AH21" s="14">
        <v>0.75</v>
      </c>
      <c r="AI21" s="14">
        <v>593.29</v>
      </c>
      <c r="AJ21" s="14">
        <v>1179.02</v>
      </c>
      <c r="AK21" s="13" t="s">
        <v>43</v>
      </c>
      <c r="AL21" t="s">
        <v>32</v>
      </c>
      <c r="AM21" t="s">
        <v>11</v>
      </c>
      <c r="AN21" t="s">
        <v>21</v>
      </c>
      <c r="AO21" t="s">
        <v>31</v>
      </c>
      <c r="AP21" s="7" t="s">
        <v>14</v>
      </c>
      <c r="AQ21" s="14">
        <v>0.31</v>
      </c>
      <c r="AR21" s="14">
        <v>233.08</v>
      </c>
      <c r="AS21" s="18">
        <v>393.01</v>
      </c>
    </row>
    <row r="22" spans="1:45" x14ac:dyDescent="0.25">
      <c r="A22" s="13" t="s">
        <v>44</v>
      </c>
      <c r="B22" t="s">
        <v>30</v>
      </c>
      <c r="C22" t="s">
        <v>11</v>
      </c>
      <c r="D22" t="s">
        <v>12</v>
      </c>
      <c r="E22" t="s">
        <v>31</v>
      </c>
      <c r="F22" t="s">
        <v>16</v>
      </c>
      <c r="G22" s="16" t="s">
        <v>26</v>
      </c>
      <c r="H22" s="16" t="s">
        <v>26</v>
      </c>
      <c r="I22" s="16" t="s">
        <v>26</v>
      </c>
      <c r="J22" s="13" t="s">
        <v>44</v>
      </c>
      <c r="K22" t="s">
        <v>30</v>
      </c>
      <c r="L22" t="s">
        <v>11</v>
      </c>
      <c r="M22" t="s">
        <v>15</v>
      </c>
      <c r="N22" t="s">
        <v>31</v>
      </c>
      <c r="O22" t="s">
        <v>14</v>
      </c>
      <c r="P22" s="28">
        <v>0.48</v>
      </c>
      <c r="Q22" s="28">
        <v>423.78</v>
      </c>
      <c r="R22" s="37">
        <v>1375.52</v>
      </c>
      <c r="S22" s="13" t="s">
        <v>44</v>
      </c>
      <c r="T22" t="s">
        <v>30</v>
      </c>
      <c r="U22" t="s">
        <v>11</v>
      </c>
      <c r="V22" t="s">
        <v>17</v>
      </c>
      <c r="W22" t="s">
        <v>31</v>
      </c>
      <c r="X22" t="s">
        <v>18</v>
      </c>
      <c r="Y22" s="16">
        <v>0.52</v>
      </c>
      <c r="Z22" s="16">
        <v>466.15</v>
      </c>
      <c r="AA22" s="16">
        <v>1572.03</v>
      </c>
      <c r="AB22" s="13" t="s">
        <v>44</v>
      </c>
      <c r="AC22" t="s">
        <v>30</v>
      </c>
      <c r="AD22" t="s">
        <v>11</v>
      </c>
      <c r="AE22" t="s">
        <v>19</v>
      </c>
      <c r="AF22" t="s">
        <v>31</v>
      </c>
      <c r="AG22" t="s">
        <v>22</v>
      </c>
      <c r="AH22" s="14">
        <v>0.3</v>
      </c>
      <c r="AI22" s="14">
        <v>296.64</v>
      </c>
      <c r="AJ22" s="14">
        <v>1375.52</v>
      </c>
      <c r="AK22" s="13" t="s">
        <v>44</v>
      </c>
      <c r="AL22" t="s">
        <v>30</v>
      </c>
      <c r="AM22" t="s">
        <v>11</v>
      </c>
      <c r="AN22" t="s">
        <v>21</v>
      </c>
      <c r="AO22" t="s">
        <v>31</v>
      </c>
      <c r="AP22" s="7" t="s">
        <v>20</v>
      </c>
      <c r="AQ22" s="14">
        <v>0.19</v>
      </c>
      <c r="AR22" s="14">
        <v>148.32</v>
      </c>
      <c r="AS22" s="18">
        <v>393.01</v>
      </c>
    </row>
    <row r="23" spans="1:45" x14ac:dyDescent="0.25">
      <c r="A23" s="13" t="s">
        <v>44</v>
      </c>
      <c r="B23" t="s">
        <v>32</v>
      </c>
      <c r="C23" t="s">
        <v>11</v>
      </c>
      <c r="D23" t="s">
        <v>12</v>
      </c>
      <c r="E23" t="s">
        <v>31</v>
      </c>
      <c r="F23" t="s">
        <v>18</v>
      </c>
      <c r="G23" s="16">
        <v>1.1100000000000001</v>
      </c>
      <c r="H23" s="16">
        <v>911.12</v>
      </c>
      <c r="I23" s="16">
        <v>2751.05</v>
      </c>
      <c r="J23" s="13" t="s">
        <v>44</v>
      </c>
      <c r="K23" t="s">
        <v>32</v>
      </c>
      <c r="L23" t="s">
        <v>11</v>
      </c>
      <c r="M23" t="s">
        <v>15</v>
      </c>
      <c r="N23" t="s">
        <v>31</v>
      </c>
      <c r="O23" t="s">
        <v>14</v>
      </c>
      <c r="P23" s="28">
        <v>0.93</v>
      </c>
      <c r="Q23" s="28">
        <v>720.42</v>
      </c>
      <c r="R23" s="37">
        <v>1768.53</v>
      </c>
      <c r="S23" s="13" t="s">
        <v>44</v>
      </c>
      <c r="T23" t="s">
        <v>32</v>
      </c>
      <c r="U23" t="s">
        <v>11</v>
      </c>
      <c r="V23" t="s">
        <v>17</v>
      </c>
      <c r="W23" t="s">
        <v>31</v>
      </c>
      <c r="X23" t="s">
        <v>20</v>
      </c>
      <c r="Y23" s="16">
        <v>1.1200000000000001</v>
      </c>
      <c r="Z23" s="16">
        <v>911.12</v>
      </c>
      <c r="AA23" s="16">
        <v>2161.54</v>
      </c>
      <c r="AB23" s="13" t="s">
        <v>44</v>
      </c>
      <c r="AC23" t="s">
        <v>32</v>
      </c>
      <c r="AD23" t="s">
        <v>11</v>
      </c>
      <c r="AE23" t="s">
        <v>19</v>
      </c>
      <c r="AF23" t="s">
        <v>31</v>
      </c>
      <c r="AG23" t="s">
        <v>16</v>
      </c>
      <c r="AH23" s="14">
        <v>0.5</v>
      </c>
      <c r="AI23" s="14">
        <v>423.78</v>
      </c>
      <c r="AJ23" s="14">
        <v>1375.52</v>
      </c>
      <c r="AK23" s="13" t="s">
        <v>44</v>
      </c>
      <c r="AL23" t="s">
        <v>32</v>
      </c>
      <c r="AM23" t="s">
        <v>11</v>
      </c>
      <c r="AN23" t="s">
        <v>21</v>
      </c>
      <c r="AO23" t="s">
        <v>31</v>
      </c>
      <c r="AP23" s="36" t="s">
        <v>22</v>
      </c>
      <c r="AQ23" s="14">
        <v>0.4</v>
      </c>
      <c r="AR23" s="14">
        <v>339.02</v>
      </c>
      <c r="AS23" s="18">
        <v>982.52</v>
      </c>
    </row>
    <row r="24" spans="1:45" x14ac:dyDescent="0.25">
      <c r="A24" s="13" t="s">
        <v>45</v>
      </c>
      <c r="B24" t="s">
        <v>30</v>
      </c>
      <c r="C24" t="s">
        <v>11</v>
      </c>
      <c r="D24" t="s">
        <v>12</v>
      </c>
      <c r="E24" t="s">
        <v>31</v>
      </c>
      <c r="F24" t="s">
        <v>22</v>
      </c>
      <c r="G24" s="16">
        <v>0.28999999999999998</v>
      </c>
      <c r="H24" s="16">
        <v>233.08</v>
      </c>
      <c r="I24" s="16">
        <v>982.52</v>
      </c>
      <c r="J24" s="13" t="s">
        <v>45</v>
      </c>
      <c r="K24" t="s">
        <v>30</v>
      </c>
      <c r="L24" t="s">
        <v>11</v>
      </c>
      <c r="M24" t="s">
        <v>15</v>
      </c>
      <c r="N24" t="s">
        <v>31</v>
      </c>
      <c r="O24" t="s">
        <v>14</v>
      </c>
      <c r="P24" s="28">
        <v>0.8</v>
      </c>
      <c r="Q24" s="28">
        <v>635.66</v>
      </c>
      <c r="R24" s="37">
        <v>1768.53</v>
      </c>
      <c r="S24" s="13" t="s">
        <v>45</v>
      </c>
      <c r="T24" t="s">
        <v>30</v>
      </c>
      <c r="U24" t="s">
        <v>11</v>
      </c>
      <c r="V24" t="s">
        <v>17</v>
      </c>
      <c r="W24" t="s">
        <v>31</v>
      </c>
      <c r="X24" t="s">
        <v>16</v>
      </c>
      <c r="Y24" s="16">
        <v>0.66</v>
      </c>
      <c r="Z24" s="16">
        <v>466.15</v>
      </c>
      <c r="AA24" s="16">
        <v>982.52</v>
      </c>
      <c r="AB24" s="13" t="s">
        <v>45</v>
      </c>
      <c r="AC24" t="s">
        <v>30</v>
      </c>
      <c r="AD24" t="s">
        <v>11</v>
      </c>
      <c r="AE24" t="s">
        <v>19</v>
      </c>
      <c r="AF24" t="s">
        <v>31</v>
      </c>
      <c r="AG24" t="s">
        <v>20</v>
      </c>
      <c r="AH24" s="14">
        <v>0.53</v>
      </c>
      <c r="AI24" s="14">
        <v>444.97</v>
      </c>
      <c r="AJ24" s="14">
        <v>1179.02</v>
      </c>
      <c r="AK24" s="13" t="s">
        <v>45</v>
      </c>
      <c r="AL24" t="s">
        <v>30</v>
      </c>
      <c r="AM24" t="s">
        <v>11</v>
      </c>
      <c r="AN24" t="s">
        <v>21</v>
      </c>
      <c r="AO24" t="s">
        <v>31</v>
      </c>
      <c r="AP24" s="7" t="s">
        <v>18</v>
      </c>
      <c r="AQ24" s="14">
        <v>0.25</v>
      </c>
      <c r="AR24" s="14">
        <v>190.7</v>
      </c>
      <c r="AS24" s="18">
        <v>393.01</v>
      </c>
    </row>
    <row r="25" spans="1:45" x14ac:dyDescent="0.25">
      <c r="A25" s="13" t="s">
        <v>45</v>
      </c>
      <c r="B25" t="s">
        <v>32</v>
      </c>
      <c r="C25" t="s">
        <v>11</v>
      </c>
      <c r="D25" t="s">
        <v>12</v>
      </c>
      <c r="E25" t="s">
        <v>31</v>
      </c>
      <c r="F25" t="s">
        <v>14</v>
      </c>
      <c r="G25" s="16">
        <v>1</v>
      </c>
      <c r="H25" s="16">
        <v>762.8</v>
      </c>
      <c r="I25" s="16">
        <v>1965.03</v>
      </c>
      <c r="J25" s="13" t="s">
        <v>45</v>
      </c>
      <c r="K25" t="s">
        <v>32</v>
      </c>
      <c r="L25" t="s">
        <v>11</v>
      </c>
      <c r="M25" t="s">
        <v>15</v>
      </c>
      <c r="N25" t="s">
        <v>31</v>
      </c>
      <c r="O25" t="s">
        <v>20</v>
      </c>
      <c r="P25" s="28">
        <v>0.43</v>
      </c>
      <c r="Q25" s="28">
        <v>381.4</v>
      </c>
      <c r="R25" s="37">
        <v>1179.02</v>
      </c>
      <c r="S25" s="13" t="s">
        <v>45</v>
      </c>
      <c r="T25" t="s">
        <v>32</v>
      </c>
      <c r="U25" t="s">
        <v>11</v>
      </c>
      <c r="V25" t="s">
        <v>17</v>
      </c>
      <c r="W25" t="s">
        <v>31</v>
      </c>
      <c r="X25" t="s">
        <v>22</v>
      </c>
      <c r="Y25" s="16">
        <v>0.69</v>
      </c>
      <c r="Z25" s="16">
        <v>593.29</v>
      </c>
      <c r="AA25" s="16">
        <v>1572.03</v>
      </c>
      <c r="AB25" s="13" t="s">
        <v>45</v>
      </c>
      <c r="AC25" t="s">
        <v>32</v>
      </c>
      <c r="AD25" t="s">
        <v>11</v>
      </c>
      <c r="AE25" t="s">
        <v>19</v>
      </c>
      <c r="AF25" t="s">
        <v>31</v>
      </c>
      <c r="AG25" t="s">
        <v>18</v>
      </c>
      <c r="AH25" s="14">
        <v>0.43</v>
      </c>
      <c r="AI25" s="14">
        <v>402.59</v>
      </c>
      <c r="AJ25" s="14">
        <v>1375.52</v>
      </c>
      <c r="AK25" s="13" t="s">
        <v>45</v>
      </c>
      <c r="AL25" t="s">
        <v>32</v>
      </c>
      <c r="AM25" t="s">
        <v>11</v>
      </c>
      <c r="AN25" t="s">
        <v>21</v>
      </c>
      <c r="AO25" t="s">
        <v>31</v>
      </c>
      <c r="AP25" s="7" t="s">
        <v>16</v>
      </c>
      <c r="AQ25" s="14">
        <v>0.2</v>
      </c>
      <c r="AR25" s="14">
        <v>169.51</v>
      </c>
      <c r="AS25" s="18">
        <v>786.01</v>
      </c>
    </row>
    <row r="26" spans="1:45" s="3" customFormat="1" x14ac:dyDescent="0.25">
      <c r="A26" s="32"/>
      <c r="J26" s="32"/>
      <c r="R26" s="33"/>
      <c r="S26" s="32"/>
      <c r="AB26" s="32"/>
      <c r="AK26" s="32"/>
      <c r="AS26" s="33"/>
    </row>
    <row r="27" spans="1:45" x14ac:dyDescent="0.25">
      <c r="A27" s="13" t="s">
        <v>46</v>
      </c>
      <c r="B27" t="s">
        <v>10</v>
      </c>
      <c r="C27" t="s">
        <v>34</v>
      </c>
      <c r="D27" t="s">
        <v>12</v>
      </c>
      <c r="E27" t="s">
        <v>13</v>
      </c>
      <c r="F27" s="7" t="s">
        <v>14</v>
      </c>
      <c r="G27" s="14">
        <v>0.6</v>
      </c>
      <c r="H27" s="14">
        <v>513.72</v>
      </c>
      <c r="I27" s="14">
        <v>1766.53</v>
      </c>
      <c r="J27" s="13" t="s">
        <v>46</v>
      </c>
      <c r="K27" t="s">
        <v>10</v>
      </c>
      <c r="L27" t="s">
        <v>34</v>
      </c>
      <c r="M27" t="s">
        <v>15</v>
      </c>
      <c r="N27" t="s">
        <v>13</v>
      </c>
      <c r="O27" s="7" t="s">
        <v>16</v>
      </c>
      <c r="P27" s="14">
        <v>0.51</v>
      </c>
      <c r="Q27" s="14">
        <v>438.15</v>
      </c>
      <c r="R27" s="18">
        <v>1613.99</v>
      </c>
      <c r="S27" s="13" t="s">
        <v>46</v>
      </c>
      <c r="T27" t="s">
        <v>10</v>
      </c>
      <c r="U27" t="s">
        <v>34</v>
      </c>
      <c r="V27" t="s">
        <v>17</v>
      </c>
      <c r="W27" t="s">
        <v>13</v>
      </c>
      <c r="X27" s="7" t="s">
        <v>18</v>
      </c>
      <c r="Y27" s="16">
        <v>0.12</v>
      </c>
      <c r="Z27" s="16">
        <v>105.94</v>
      </c>
      <c r="AA27" s="16">
        <v>589.51</v>
      </c>
      <c r="AB27" s="13" t="s">
        <v>46</v>
      </c>
      <c r="AC27" t="s">
        <v>10</v>
      </c>
      <c r="AD27" t="s">
        <v>34</v>
      </c>
      <c r="AE27" t="s">
        <v>19</v>
      </c>
      <c r="AF27" t="s">
        <v>13</v>
      </c>
      <c r="AG27" s="7" t="s">
        <v>20</v>
      </c>
      <c r="AH27" s="16">
        <v>0.41</v>
      </c>
      <c r="AI27" s="16">
        <v>317.83</v>
      </c>
      <c r="AJ27" s="16">
        <v>982.52</v>
      </c>
      <c r="AK27" s="13" t="s">
        <v>46</v>
      </c>
      <c r="AL27" t="s">
        <v>10</v>
      </c>
      <c r="AM27" t="s">
        <v>34</v>
      </c>
      <c r="AN27" t="s">
        <v>21</v>
      </c>
      <c r="AO27" t="s">
        <v>13</v>
      </c>
      <c r="AP27" s="7" t="s">
        <v>22</v>
      </c>
      <c r="AQ27" s="16">
        <v>0.13</v>
      </c>
      <c r="AR27" s="16">
        <v>105.94</v>
      </c>
      <c r="AS27" s="30">
        <v>589.51</v>
      </c>
    </row>
    <row r="28" spans="1:45" x14ac:dyDescent="0.25">
      <c r="A28" s="13" t="s">
        <v>46</v>
      </c>
      <c r="B28" t="s">
        <v>23</v>
      </c>
      <c r="C28" t="s">
        <v>34</v>
      </c>
      <c r="D28" t="s">
        <v>12</v>
      </c>
      <c r="E28" t="s">
        <v>13</v>
      </c>
      <c r="F28" t="s">
        <v>18</v>
      </c>
      <c r="G28" s="16" t="s">
        <v>26</v>
      </c>
      <c r="H28" s="16" t="s">
        <v>26</v>
      </c>
      <c r="I28" s="16" t="s">
        <v>26</v>
      </c>
      <c r="J28" s="13" t="s">
        <v>46</v>
      </c>
      <c r="K28" t="s">
        <v>23</v>
      </c>
      <c r="L28" t="s">
        <v>34</v>
      </c>
      <c r="M28" t="s">
        <v>15</v>
      </c>
      <c r="N28" t="s">
        <v>13</v>
      </c>
      <c r="O28" t="s">
        <v>14</v>
      </c>
      <c r="P28" s="16">
        <v>0.52</v>
      </c>
      <c r="Q28" s="16">
        <v>466.15</v>
      </c>
      <c r="R28" s="30">
        <v>1768.53</v>
      </c>
      <c r="S28" s="13" t="s">
        <v>46</v>
      </c>
      <c r="T28" t="s">
        <v>23</v>
      </c>
      <c r="U28" t="s">
        <v>34</v>
      </c>
      <c r="V28" t="s">
        <v>17</v>
      </c>
      <c r="W28" t="s">
        <v>13</v>
      </c>
      <c r="X28" t="s">
        <v>22</v>
      </c>
      <c r="Y28" s="16">
        <v>0.17</v>
      </c>
      <c r="Z28" s="16">
        <v>148.32</v>
      </c>
      <c r="AA28" s="16">
        <v>786.01</v>
      </c>
      <c r="AB28" s="13" t="s">
        <v>46</v>
      </c>
      <c r="AC28" t="s">
        <v>23</v>
      </c>
      <c r="AD28" t="s">
        <v>34</v>
      </c>
      <c r="AE28" t="s">
        <v>19</v>
      </c>
      <c r="AF28" t="s">
        <v>13</v>
      </c>
      <c r="AG28" t="s">
        <v>16</v>
      </c>
      <c r="AH28" s="16">
        <v>0.35</v>
      </c>
      <c r="AI28" s="16">
        <v>275.45</v>
      </c>
      <c r="AJ28" s="16">
        <v>982.52</v>
      </c>
      <c r="AK28" s="13" t="s">
        <v>46</v>
      </c>
      <c r="AL28" t="s">
        <v>23</v>
      </c>
      <c r="AM28" t="s">
        <v>34</v>
      </c>
      <c r="AN28" t="s">
        <v>21</v>
      </c>
      <c r="AO28" t="s">
        <v>13</v>
      </c>
      <c r="AP28" t="s">
        <v>20</v>
      </c>
      <c r="AQ28" s="16" t="s">
        <v>26</v>
      </c>
      <c r="AR28" s="16" t="s">
        <v>26</v>
      </c>
      <c r="AS28" s="30" t="s">
        <v>26</v>
      </c>
    </row>
    <row r="29" spans="1:45" x14ac:dyDescent="0.25">
      <c r="A29" s="13" t="s">
        <v>47</v>
      </c>
      <c r="B29" t="s">
        <v>10</v>
      </c>
      <c r="C29" t="s">
        <v>34</v>
      </c>
      <c r="D29" t="s">
        <v>12</v>
      </c>
      <c r="E29" t="s">
        <v>13</v>
      </c>
      <c r="F29" t="s">
        <v>16</v>
      </c>
      <c r="G29" s="16">
        <v>0.82</v>
      </c>
      <c r="H29" s="16">
        <v>699.23</v>
      </c>
      <c r="I29" s="16">
        <v>2554.5500000000002</v>
      </c>
      <c r="J29" s="13" t="s">
        <v>47</v>
      </c>
      <c r="K29" t="s">
        <v>10</v>
      </c>
      <c r="L29" t="s">
        <v>34</v>
      </c>
      <c r="M29" t="s">
        <v>15</v>
      </c>
      <c r="N29" t="s">
        <v>13</v>
      </c>
      <c r="O29" t="s">
        <v>22</v>
      </c>
      <c r="P29" s="16">
        <v>0.49</v>
      </c>
      <c r="Q29" s="16">
        <v>381.4</v>
      </c>
      <c r="R29" s="30">
        <v>1179.02</v>
      </c>
      <c r="S29" s="13" t="s">
        <v>47</v>
      </c>
      <c r="T29" t="s">
        <v>10</v>
      </c>
      <c r="U29" t="s">
        <v>34</v>
      </c>
      <c r="V29" t="s">
        <v>17</v>
      </c>
      <c r="W29" t="s">
        <v>13</v>
      </c>
      <c r="X29" t="s">
        <v>20</v>
      </c>
      <c r="Y29" s="16">
        <v>0.44</v>
      </c>
      <c r="Z29" s="16">
        <v>402.59</v>
      </c>
      <c r="AA29" s="16">
        <v>1572.03</v>
      </c>
      <c r="AB29" s="13" t="s">
        <v>47</v>
      </c>
      <c r="AC29" t="s">
        <v>10</v>
      </c>
      <c r="AD29" t="s">
        <v>34</v>
      </c>
      <c r="AE29" t="s">
        <v>19</v>
      </c>
      <c r="AF29" t="s">
        <v>13</v>
      </c>
      <c r="AG29" t="s">
        <v>14</v>
      </c>
      <c r="AH29" s="14">
        <v>0.42</v>
      </c>
      <c r="AI29" s="14">
        <v>389.21</v>
      </c>
      <c r="AJ29" s="14">
        <v>1771.53</v>
      </c>
      <c r="AK29" s="13" t="s">
        <v>47</v>
      </c>
      <c r="AL29" t="s">
        <v>10</v>
      </c>
      <c r="AM29" t="s">
        <v>34</v>
      </c>
      <c r="AN29" t="s">
        <v>21</v>
      </c>
      <c r="AO29" t="s">
        <v>13</v>
      </c>
      <c r="AP29" t="s">
        <v>18</v>
      </c>
      <c r="AQ29" s="16">
        <v>0.24</v>
      </c>
      <c r="AR29" s="16">
        <v>211.89</v>
      </c>
      <c r="AS29" s="30">
        <v>1375.52</v>
      </c>
    </row>
    <row r="30" spans="1:45" x14ac:dyDescent="0.25">
      <c r="A30" s="13" t="s">
        <v>47</v>
      </c>
      <c r="B30" t="s">
        <v>23</v>
      </c>
      <c r="C30" t="s">
        <v>34</v>
      </c>
      <c r="D30" t="s">
        <v>12</v>
      </c>
      <c r="E30" t="s">
        <v>13</v>
      </c>
      <c r="F30" t="s">
        <v>18</v>
      </c>
      <c r="G30" s="16">
        <v>0.56000000000000005</v>
      </c>
      <c r="H30" s="16">
        <v>508.53</v>
      </c>
      <c r="I30" s="16">
        <v>3144.06</v>
      </c>
      <c r="J30" s="13" t="s">
        <v>47</v>
      </c>
      <c r="K30" t="s">
        <v>23</v>
      </c>
      <c r="L30" t="s">
        <v>34</v>
      </c>
      <c r="M30" t="s">
        <v>15</v>
      </c>
      <c r="N30" t="s">
        <v>13</v>
      </c>
      <c r="O30" t="s">
        <v>14</v>
      </c>
      <c r="P30" s="16">
        <v>0.64</v>
      </c>
      <c r="Q30" s="16">
        <v>550.91</v>
      </c>
      <c r="R30" s="30">
        <v>2161.54</v>
      </c>
      <c r="S30" s="13" t="s">
        <v>47</v>
      </c>
      <c r="T30" t="s">
        <v>23</v>
      </c>
      <c r="U30" t="s">
        <v>34</v>
      </c>
      <c r="V30" t="s">
        <v>17</v>
      </c>
      <c r="W30" t="s">
        <v>13</v>
      </c>
      <c r="X30" t="s">
        <v>20</v>
      </c>
      <c r="Y30" s="16">
        <v>0.25</v>
      </c>
      <c r="Z30" s="16">
        <v>211.89</v>
      </c>
      <c r="AA30" s="16">
        <v>982.52</v>
      </c>
      <c r="AB30" s="13" t="s">
        <v>47</v>
      </c>
      <c r="AC30" t="s">
        <v>23</v>
      </c>
      <c r="AD30" t="s">
        <v>34</v>
      </c>
      <c r="AE30" t="s">
        <v>19</v>
      </c>
      <c r="AF30" t="s">
        <v>13</v>
      </c>
      <c r="AG30" t="s">
        <v>22</v>
      </c>
      <c r="AH30" s="16">
        <v>0.91</v>
      </c>
      <c r="AI30" s="16">
        <v>720.42</v>
      </c>
      <c r="AJ30" s="16">
        <v>2161.54</v>
      </c>
      <c r="AK30" s="13" t="s">
        <v>47</v>
      </c>
      <c r="AL30" t="s">
        <v>23</v>
      </c>
      <c r="AM30" t="s">
        <v>34</v>
      </c>
      <c r="AN30" t="s">
        <v>21</v>
      </c>
      <c r="AO30" t="s">
        <v>13</v>
      </c>
      <c r="AP30" t="s">
        <v>16</v>
      </c>
      <c r="AQ30" s="16">
        <v>0.17</v>
      </c>
      <c r="AR30" s="16">
        <v>127.13</v>
      </c>
      <c r="AS30" s="30">
        <v>589.51</v>
      </c>
    </row>
    <row r="31" spans="1:45" x14ac:dyDescent="0.25">
      <c r="A31" s="13" t="s">
        <v>48</v>
      </c>
      <c r="B31" t="s">
        <v>10</v>
      </c>
      <c r="C31" t="s">
        <v>34</v>
      </c>
      <c r="D31" t="s">
        <v>12</v>
      </c>
      <c r="E31" t="s">
        <v>13</v>
      </c>
      <c r="F31" t="s">
        <v>18</v>
      </c>
      <c r="G31" s="16">
        <v>0.5</v>
      </c>
      <c r="H31" s="16">
        <v>466.15</v>
      </c>
      <c r="I31" s="16">
        <v>2751.05</v>
      </c>
      <c r="J31" s="13" t="s">
        <v>48</v>
      </c>
      <c r="K31" t="s">
        <v>10</v>
      </c>
      <c r="L31" t="s">
        <v>34</v>
      </c>
      <c r="M31" t="s">
        <v>15</v>
      </c>
      <c r="N31" t="s">
        <v>13</v>
      </c>
      <c r="O31" t="s">
        <v>20</v>
      </c>
      <c r="P31" s="14">
        <v>0.78</v>
      </c>
      <c r="Q31" s="14">
        <v>621.85</v>
      </c>
      <c r="R31" s="18">
        <v>1765.53</v>
      </c>
      <c r="S31" s="13" t="s">
        <v>48</v>
      </c>
      <c r="T31" t="s">
        <v>10</v>
      </c>
      <c r="U31" t="s">
        <v>34</v>
      </c>
      <c r="V31" t="s">
        <v>17</v>
      </c>
      <c r="W31" t="s">
        <v>13</v>
      </c>
      <c r="X31" t="s">
        <v>14</v>
      </c>
      <c r="Y31" s="14" t="s">
        <v>26</v>
      </c>
      <c r="Z31" s="14" t="s">
        <v>26</v>
      </c>
      <c r="AA31" s="14" t="s">
        <v>26</v>
      </c>
      <c r="AB31" s="13" t="s">
        <v>48</v>
      </c>
      <c r="AC31" t="s">
        <v>10</v>
      </c>
      <c r="AD31" t="s">
        <v>34</v>
      </c>
      <c r="AE31" t="s">
        <v>19</v>
      </c>
      <c r="AF31" t="s">
        <v>13</v>
      </c>
      <c r="AG31" t="s">
        <v>16</v>
      </c>
      <c r="AH31" s="16">
        <v>0.48</v>
      </c>
      <c r="AI31" s="16">
        <v>402.59</v>
      </c>
      <c r="AJ31" s="16">
        <v>1375.52</v>
      </c>
      <c r="AK31" s="13" t="s">
        <v>48</v>
      </c>
      <c r="AL31" t="s">
        <v>10</v>
      </c>
      <c r="AM31" t="s">
        <v>34</v>
      </c>
      <c r="AN31" t="s">
        <v>21</v>
      </c>
      <c r="AO31" t="s">
        <v>13</v>
      </c>
      <c r="AP31" t="s">
        <v>22</v>
      </c>
      <c r="AQ31" s="16">
        <v>0.17</v>
      </c>
      <c r="AR31" s="16">
        <v>169.51</v>
      </c>
      <c r="AS31" s="30">
        <v>1179.02</v>
      </c>
    </row>
    <row r="32" spans="1:45" x14ac:dyDescent="0.25">
      <c r="A32" s="13" t="s">
        <v>48</v>
      </c>
      <c r="B32" t="s">
        <v>23</v>
      </c>
      <c r="C32" t="s">
        <v>34</v>
      </c>
      <c r="D32" t="s">
        <v>12</v>
      </c>
      <c r="E32" t="s">
        <v>13</v>
      </c>
      <c r="F32" t="s">
        <v>14</v>
      </c>
      <c r="G32" s="14">
        <v>0.76</v>
      </c>
      <c r="H32" s="14">
        <v>583.29</v>
      </c>
      <c r="I32" s="14">
        <v>1829.53</v>
      </c>
      <c r="J32" s="13" t="s">
        <v>48</v>
      </c>
      <c r="K32" t="s">
        <v>23</v>
      </c>
      <c r="L32" t="s">
        <v>34</v>
      </c>
      <c r="M32" t="s">
        <v>15</v>
      </c>
      <c r="N32" t="s">
        <v>13</v>
      </c>
      <c r="O32" t="s">
        <v>22</v>
      </c>
      <c r="P32" s="16">
        <v>1.23</v>
      </c>
      <c r="Q32" s="16">
        <v>995.87</v>
      </c>
      <c r="R32" s="30">
        <v>2751.05</v>
      </c>
      <c r="S32" s="13" t="s">
        <v>48</v>
      </c>
      <c r="T32" t="s">
        <v>23</v>
      </c>
      <c r="U32" t="s">
        <v>34</v>
      </c>
      <c r="V32" t="s">
        <v>17</v>
      </c>
      <c r="W32" t="s">
        <v>13</v>
      </c>
      <c r="X32" t="s">
        <v>20</v>
      </c>
      <c r="Y32" s="16">
        <v>0.28000000000000003</v>
      </c>
      <c r="Z32" s="16">
        <v>275.45</v>
      </c>
      <c r="AA32" s="16">
        <v>1375.52</v>
      </c>
      <c r="AB32" s="13" t="s">
        <v>48</v>
      </c>
      <c r="AC32" t="s">
        <v>23</v>
      </c>
      <c r="AD32" t="s">
        <v>34</v>
      </c>
      <c r="AE32" t="s">
        <v>19</v>
      </c>
      <c r="AF32" t="s">
        <v>13</v>
      </c>
      <c r="AG32" t="s">
        <v>16</v>
      </c>
      <c r="AH32" s="16">
        <v>0.38</v>
      </c>
      <c r="AI32" s="16">
        <v>317.83</v>
      </c>
      <c r="AJ32" s="16">
        <v>1375.52</v>
      </c>
      <c r="AK32" s="13" t="s">
        <v>48</v>
      </c>
      <c r="AL32" t="s">
        <v>23</v>
      </c>
      <c r="AM32" t="s">
        <v>34</v>
      </c>
      <c r="AN32" t="s">
        <v>21</v>
      </c>
      <c r="AO32" t="s">
        <v>13</v>
      </c>
      <c r="AP32" t="s">
        <v>22</v>
      </c>
      <c r="AQ32" s="16">
        <v>0.09</v>
      </c>
      <c r="AR32" s="16">
        <v>84.76</v>
      </c>
      <c r="AS32" s="30">
        <v>786.01</v>
      </c>
    </row>
    <row r="33" spans="1:45" x14ac:dyDescent="0.25">
      <c r="A33" s="13" t="s">
        <v>49</v>
      </c>
      <c r="B33" t="s">
        <v>10</v>
      </c>
      <c r="C33" t="s">
        <v>34</v>
      </c>
      <c r="D33" t="s">
        <v>12</v>
      </c>
      <c r="E33" t="s">
        <v>13</v>
      </c>
      <c r="F33" t="s">
        <v>22</v>
      </c>
      <c r="G33" s="16">
        <v>0.22</v>
      </c>
      <c r="H33" s="16">
        <v>233.08</v>
      </c>
      <c r="I33" s="16">
        <v>1965.03</v>
      </c>
      <c r="J33" s="13" t="s">
        <v>49</v>
      </c>
      <c r="K33" t="s">
        <v>10</v>
      </c>
      <c r="L33" t="s">
        <v>34</v>
      </c>
      <c r="M33" t="s">
        <v>15</v>
      </c>
      <c r="N33" t="s">
        <v>13</v>
      </c>
      <c r="O33" t="s">
        <v>14</v>
      </c>
      <c r="P33" s="14">
        <v>1.39</v>
      </c>
      <c r="Q33" s="14">
        <v>1090.82</v>
      </c>
      <c r="R33" s="18">
        <v>2393.0100000000002</v>
      </c>
      <c r="S33" s="13" t="s">
        <v>49</v>
      </c>
      <c r="T33" t="s">
        <v>10</v>
      </c>
      <c r="U33" t="s">
        <v>34</v>
      </c>
      <c r="V33" t="s">
        <v>17</v>
      </c>
      <c r="W33" t="s">
        <v>13</v>
      </c>
      <c r="X33" t="s">
        <v>20</v>
      </c>
      <c r="Y33" s="14">
        <v>0.68</v>
      </c>
      <c r="Z33" s="14">
        <v>554.53</v>
      </c>
      <c r="AA33" s="14">
        <v>1600</v>
      </c>
      <c r="AB33" s="13" t="s">
        <v>49</v>
      </c>
      <c r="AC33" t="s">
        <v>10</v>
      </c>
      <c r="AD33" t="s">
        <v>34</v>
      </c>
      <c r="AE33" t="s">
        <v>19</v>
      </c>
      <c r="AF33" t="s">
        <v>13</v>
      </c>
      <c r="AG33" t="s">
        <v>18</v>
      </c>
      <c r="AH33" s="14" t="s">
        <v>26</v>
      </c>
      <c r="AI33" s="14" t="s">
        <v>26</v>
      </c>
      <c r="AJ33" s="14" t="s">
        <v>26</v>
      </c>
      <c r="AK33" s="13" t="s">
        <v>49</v>
      </c>
      <c r="AL33" t="s">
        <v>10</v>
      </c>
      <c r="AM33" t="s">
        <v>34</v>
      </c>
      <c r="AN33" t="s">
        <v>21</v>
      </c>
      <c r="AO33" t="s">
        <v>13</v>
      </c>
      <c r="AP33" t="s">
        <v>16</v>
      </c>
      <c r="AQ33" s="16">
        <v>0.44</v>
      </c>
      <c r="AR33" s="16">
        <v>360.21</v>
      </c>
      <c r="AS33" s="30">
        <v>1179.02</v>
      </c>
    </row>
    <row r="34" spans="1:45" x14ac:dyDescent="0.25">
      <c r="A34" s="13" t="s">
        <v>49</v>
      </c>
      <c r="B34" t="s">
        <v>23</v>
      </c>
      <c r="C34" t="s">
        <v>34</v>
      </c>
      <c r="D34" t="s">
        <v>12</v>
      </c>
      <c r="E34" t="s">
        <v>13</v>
      </c>
      <c r="F34" t="s">
        <v>22</v>
      </c>
      <c r="G34" s="16" t="s">
        <v>26</v>
      </c>
      <c r="H34" s="16" t="s">
        <v>26</v>
      </c>
      <c r="I34" s="16" t="s">
        <v>26</v>
      </c>
      <c r="J34" s="13" t="s">
        <v>49</v>
      </c>
      <c r="K34" t="s">
        <v>23</v>
      </c>
      <c r="L34" t="s">
        <v>34</v>
      </c>
      <c r="M34" t="s">
        <v>15</v>
      </c>
      <c r="N34" t="s">
        <v>13</v>
      </c>
      <c r="O34" t="s">
        <v>18</v>
      </c>
      <c r="P34" s="16">
        <v>1</v>
      </c>
      <c r="Q34" s="16">
        <v>805.17</v>
      </c>
      <c r="R34" s="30">
        <v>2554.5500000000002</v>
      </c>
      <c r="S34" s="13" t="s">
        <v>49</v>
      </c>
      <c r="T34" t="s">
        <v>23</v>
      </c>
      <c r="U34" t="s">
        <v>34</v>
      </c>
      <c r="V34" t="s">
        <v>17</v>
      </c>
      <c r="W34" t="s">
        <v>13</v>
      </c>
      <c r="X34" t="s">
        <v>16</v>
      </c>
      <c r="Y34" s="16" t="s">
        <v>26</v>
      </c>
      <c r="Z34" s="16" t="s">
        <v>26</v>
      </c>
      <c r="AA34" s="16" t="s">
        <v>26</v>
      </c>
      <c r="AB34" s="13" t="s">
        <v>49</v>
      </c>
      <c r="AC34" t="s">
        <v>23</v>
      </c>
      <c r="AD34" t="s">
        <v>34</v>
      </c>
      <c r="AE34" t="s">
        <v>19</v>
      </c>
      <c r="AF34" t="s">
        <v>13</v>
      </c>
      <c r="AG34" t="s">
        <v>20</v>
      </c>
      <c r="AH34" s="16">
        <v>0.4</v>
      </c>
      <c r="AI34" s="16">
        <v>360.21</v>
      </c>
      <c r="AJ34" s="16">
        <v>1768.53</v>
      </c>
      <c r="AK34" s="13" t="s">
        <v>49</v>
      </c>
      <c r="AL34" t="s">
        <v>23</v>
      </c>
      <c r="AM34" t="s">
        <v>34</v>
      </c>
      <c r="AN34" t="s">
        <v>21</v>
      </c>
      <c r="AO34" t="s">
        <v>13</v>
      </c>
      <c r="AP34" t="s">
        <v>14</v>
      </c>
      <c r="AQ34" s="16" t="s">
        <v>26</v>
      </c>
      <c r="AR34" s="16" t="s">
        <v>26</v>
      </c>
      <c r="AS34" s="30" t="s">
        <v>26</v>
      </c>
    </row>
    <row r="35" spans="1:45" x14ac:dyDescent="0.25">
      <c r="A35" s="13" t="s">
        <v>50</v>
      </c>
      <c r="B35" t="s">
        <v>10</v>
      </c>
      <c r="C35" t="s">
        <v>34</v>
      </c>
      <c r="D35" t="s">
        <v>12</v>
      </c>
      <c r="E35" t="s">
        <v>13</v>
      </c>
      <c r="F35" t="s">
        <v>16</v>
      </c>
      <c r="G35" s="16">
        <v>0.11</v>
      </c>
      <c r="H35" s="16">
        <v>127.13</v>
      </c>
      <c r="I35" s="16">
        <v>1375.52</v>
      </c>
      <c r="J35" s="13" t="s">
        <v>50</v>
      </c>
      <c r="K35" t="s">
        <v>10</v>
      </c>
      <c r="L35" t="s">
        <v>34</v>
      </c>
      <c r="M35" t="s">
        <v>15</v>
      </c>
      <c r="N35" t="s">
        <v>13</v>
      </c>
      <c r="O35" t="s">
        <v>14</v>
      </c>
      <c r="P35" s="14">
        <v>0.4</v>
      </c>
      <c r="Q35" s="14">
        <v>379.21</v>
      </c>
      <c r="R35" s="18">
        <v>1611.03</v>
      </c>
      <c r="S35" s="13" t="s">
        <v>50</v>
      </c>
      <c r="T35" t="s">
        <v>10</v>
      </c>
      <c r="U35" t="s">
        <v>34</v>
      </c>
      <c r="V35" t="s">
        <v>17</v>
      </c>
      <c r="W35" t="s">
        <v>13</v>
      </c>
      <c r="X35" t="s">
        <v>18</v>
      </c>
      <c r="Y35" s="16">
        <v>0.25</v>
      </c>
      <c r="Z35" s="16">
        <v>233.08</v>
      </c>
      <c r="AA35" s="16">
        <v>982.52</v>
      </c>
      <c r="AB35" s="13" t="s">
        <v>50</v>
      </c>
      <c r="AC35" t="s">
        <v>10</v>
      </c>
      <c r="AD35" t="s">
        <v>34</v>
      </c>
      <c r="AE35" t="s">
        <v>19</v>
      </c>
      <c r="AF35" t="s">
        <v>13</v>
      </c>
      <c r="AG35" t="s">
        <v>22</v>
      </c>
      <c r="AH35" s="16">
        <v>0.28999999999999998</v>
      </c>
      <c r="AI35" s="16">
        <v>275.45</v>
      </c>
      <c r="AJ35" s="16">
        <v>1572.03</v>
      </c>
      <c r="AK35" s="13" t="s">
        <v>50</v>
      </c>
      <c r="AL35" t="s">
        <v>10</v>
      </c>
      <c r="AM35" t="s">
        <v>34</v>
      </c>
      <c r="AN35" t="s">
        <v>21</v>
      </c>
      <c r="AO35" t="s">
        <v>13</v>
      </c>
      <c r="AP35" t="s">
        <v>20</v>
      </c>
      <c r="AQ35" s="16">
        <v>0.18</v>
      </c>
      <c r="AR35" s="16">
        <v>169.51</v>
      </c>
      <c r="AS35" s="30">
        <v>982.52</v>
      </c>
    </row>
    <row r="36" spans="1:45" x14ac:dyDescent="0.25">
      <c r="A36" s="13" t="s">
        <v>50</v>
      </c>
      <c r="B36" t="s">
        <v>23</v>
      </c>
      <c r="C36" t="s">
        <v>34</v>
      </c>
      <c r="D36" t="s">
        <v>12</v>
      </c>
      <c r="E36" t="s">
        <v>13</v>
      </c>
      <c r="F36" t="s">
        <v>18</v>
      </c>
      <c r="G36" s="16">
        <v>0.13</v>
      </c>
      <c r="H36" s="16">
        <v>105.94</v>
      </c>
      <c r="I36" s="16">
        <v>589.51</v>
      </c>
      <c r="J36" s="13" t="s">
        <v>50</v>
      </c>
      <c r="K36" t="s">
        <v>23</v>
      </c>
      <c r="L36" t="s">
        <v>34</v>
      </c>
      <c r="M36" t="s">
        <v>15</v>
      </c>
      <c r="N36" t="s">
        <v>13</v>
      </c>
      <c r="O36" t="s">
        <v>14</v>
      </c>
      <c r="P36" s="14">
        <v>0.62</v>
      </c>
      <c r="Q36" s="14">
        <v>495.34</v>
      </c>
      <c r="R36" s="18">
        <v>1789.53</v>
      </c>
      <c r="S36" s="13" t="s">
        <v>50</v>
      </c>
      <c r="T36" t="s">
        <v>23</v>
      </c>
      <c r="U36" t="s">
        <v>34</v>
      </c>
      <c r="V36" t="s">
        <v>17</v>
      </c>
      <c r="W36" t="s">
        <v>13</v>
      </c>
      <c r="X36" t="s">
        <v>20</v>
      </c>
      <c r="Y36" s="16">
        <v>0.36</v>
      </c>
      <c r="Z36" s="16">
        <v>254.27</v>
      </c>
      <c r="AA36" s="16">
        <v>786.01</v>
      </c>
      <c r="AB36" s="13" t="s">
        <v>50</v>
      </c>
      <c r="AC36" t="s">
        <v>23</v>
      </c>
      <c r="AD36" t="s">
        <v>34</v>
      </c>
      <c r="AE36" t="s">
        <v>19</v>
      </c>
      <c r="AF36" t="s">
        <v>13</v>
      </c>
      <c r="AG36" t="s">
        <v>16</v>
      </c>
      <c r="AH36" s="16">
        <v>0.5</v>
      </c>
      <c r="AI36" s="16">
        <v>487.34</v>
      </c>
      <c r="AJ36" s="16">
        <v>2161.54</v>
      </c>
      <c r="AK36" s="13" t="s">
        <v>50</v>
      </c>
      <c r="AL36" t="s">
        <v>23</v>
      </c>
      <c r="AM36" t="s">
        <v>34</v>
      </c>
      <c r="AN36" t="s">
        <v>21</v>
      </c>
      <c r="AO36" t="s">
        <v>13</v>
      </c>
      <c r="AP36" t="s">
        <v>22</v>
      </c>
      <c r="AQ36" s="16">
        <v>0.09</v>
      </c>
      <c r="AR36" s="16">
        <v>84.76</v>
      </c>
      <c r="AS36" s="30">
        <v>786.01</v>
      </c>
    </row>
    <row r="37" spans="1:45" x14ac:dyDescent="0.25">
      <c r="A37" s="13" t="s">
        <v>51</v>
      </c>
      <c r="B37" t="s">
        <v>10</v>
      </c>
      <c r="C37" t="s">
        <v>34</v>
      </c>
      <c r="D37" t="s">
        <v>12</v>
      </c>
      <c r="E37" t="s">
        <v>13</v>
      </c>
      <c r="F37" t="s">
        <v>22</v>
      </c>
      <c r="G37" s="14" t="s">
        <v>26</v>
      </c>
      <c r="H37" s="14" t="s">
        <v>26</v>
      </c>
      <c r="I37" s="14" t="s">
        <v>26</v>
      </c>
      <c r="J37" s="13" t="s">
        <v>51</v>
      </c>
      <c r="K37" t="s">
        <v>10</v>
      </c>
      <c r="L37" t="s">
        <v>34</v>
      </c>
      <c r="M37" t="s">
        <v>15</v>
      </c>
      <c r="N37" t="s">
        <v>13</v>
      </c>
      <c r="O37" t="s">
        <v>14</v>
      </c>
      <c r="P37" s="14">
        <v>1.24</v>
      </c>
      <c r="Q37" s="14">
        <v>988.5</v>
      </c>
      <c r="R37" s="18">
        <v>2161.54</v>
      </c>
      <c r="S37" s="13" t="s">
        <v>51</v>
      </c>
      <c r="T37" t="s">
        <v>10</v>
      </c>
      <c r="U37" t="s">
        <v>34</v>
      </c>
      <c r="V37" t="s">
        <v>17</v>
      </c>
      <c r="W37" t="s">
        <v>13</v>
      </c>
      <c r="X37" t="s">
        <v>16</v>
      </c>
      <c r="Y37" s="16">
        <v>0.93</v>
      </c>
      <c r="Z37" s="16">
        <v>720.42</v>
      </c>
      <c r="AA37" s="16">
        <v>1768.53</v>
      </c>
      <c r="AB37" s="13" t="s">
        <v>51</v>
      </c>
      <c r="AC37" t="s">
        <v>10</v>
      </c>
      <c r="AD37" t="s">
        <v>34</v>
      </c>
      <c r="AE37" t="s">
        <v>19</v>
      </c>
      <c r="AF37" t="s">
        <v>13</v>
      </c>
      <c r="AG37" t="s">
        <v>20</v>
      </c>
      <c r="AH37" s="16">
        <v>1.22</v>
      </c>
      <c r="AI37" s="16">
        <v>995.87</v>
      </c>
      <c r="AJ37" s="16">
        <v>2751.05</v>
      </c>
      <c r="AK37" s="13" t="s">
        <v>51</v>
      </c>
      <c r="AL37" t="s">
        <v>10</v>
      </c>
      <c r="AM37" t="s">
        <v>34</v>
      </c>
      <c r="AN37" t="s">
        <v>21</v>
      </c>
      <c r="AO37" t="s">
        <v>13</v>
      </c>
      <c r="AP37" t="s">
        <v>18</v>
      </c>
      <c r="AQ37" s="16" t="s">
        <v>26</v>
      </c>
      <c r="AR37" s="16" t="s">
        <v>26</v>
      </c>
      <c r="AS37" s="30" t="s">
        <v>26</v>
      </c>
    </row>
    <row r="38" spans="1:45" x14ac:dyDescent="0.25">
      <c r="A38" s="13" t="s">
        <v>51</v>
      </c>
      <c r="B38" t="s">
        <v>23</v>
      </c>
      <c r="C38" t="s">
        <v>34</v>
      </c>
      <c r="D38" t="s">
        <v>12</v>
      </c>
      <c r="E38" t="s">
        <v>13</v>
      </c>
      <c r="F38" t="s">
        <v>14</v>
      </c>
      <c r="G38" s="14">
        <v>1.66</v>
      </c>
      <c r="H38" s="14">
        <v>1323.08</v>
      </c>
      <c r="I38" s="14">
        <v>2946.55</v>
      </c>
      <c r="J38" s="13" t="s">
        <v>51</v>
      </c>
      <c r="K38" t="s">
        <v>23</v>
      </c>
      <c r="L38" t="s">
        <v>34</v>
      </c>
      <c r="M38" t="s">
        <v>15</v>
      </c>
      <c r="N38" t="s">
        <v>13</v>
      </c>
      <c r="O38" t="s">
        <v>20</v>
      </c>
      <c r="P38" s="16">
        <v>0.96</v>
      </c>
      <c r="Q38" s="16">
        <v>720.42</v>
      </c>
      <c r="R38" s="30">
        <v>1375.52</v>
      </c>
      <c r="S38" s="13" t="s">
        <v>51</v>
      </c>
      <c r="T38" t="s">
        <v>23</v>
      </c>
      <c r="U38" t="s">
        <v>34</v>
      </c>
      <c r="V38" t="s">
        <v>17</v>
      </c>
      <c r="W38" t="s">
        <v>13</v>
      </c>
      <c r="X38" t="s">
        <v>22</v>
      </c>
      <c r="Y38" s="16">
        <v>1.03</v>
      </c>
      <c r="Z38" s="16">
        <v>805.17</v>
      </c>
      <c r="AA38" s="16">
        <v>1572.03</v>
      </c>
      <c r="AB38" s="13" t="s">
        <v>51</v>
      </c>
      <c r="AC38" t="s">
        <v>23</v>
      </c>
      <c r="AD38" t="s">
        <v>34</v>
      </c>
      <c r="AE38" t="s">
        <v>19</v>
      </c>
      <c r="AF38" t="s">
        <v>13</v>
      </c>
      <c r="AG38" t="s">
        <v>18</v>
      </c>
      <c r="AH38" s="16">
        <v>0.55000000000000004</v>
      </c>
      <c r="AI38" s="16">
        <v>444.97</v>
      </c>
      <c r="AJ38" s="16">
        <v>1179.02</v>
      </c>
      <c r="AK38" s="13" t="s">
        <v>51</v>
      </c>
      <c r="AL38" t="s">
        <v>23</v>
      </c>
      <c r="AM38" t="s">
        <v>34</v>
      </c>
      <c r="AN38" t="s">
        <v>21</v>
      </c>
      <c r="AO38" t="s">
        <v>13</v>
      </c>
      <c r="AP38" t="s">
        <v>16</v>
      </c>
      <c r="AQ38" s="16">
        <v>0.45</v>
      </c>
      <c r="AR38" s="16">
        <v>360.21</v>
      </c>
      <c r="AS38" s="30">
        <v>982.52</v>
      </c>
    </row>
    <row r="39" spans="1:45" x14ac:dyDescent="0.25">
      <c r="A39" s="13" t="s">
        <v>46</v>
      </c>
      <c r="B39" t="s">
        <v>30</v>
      </c>
      <c r="C39" t="s">
        <v>34</v>
      </c>
      <c r="D39" t="s">
        <v>12</v>
      </c>
      <c r="E39" t="s">
        <v>31</v>
      </c>
      <c r="F39" t="s">
        <v>14</v>
      </c>
      <c r="G39" s="14">
        <v>0.27</v>
      </c>
      <c r="H39" s="14">
        <v>238.08</v>
      </c>
      <c r="I39" s="14">
        <v>1572.03</v>
      </c>
      <c r="J39" s="13" t="s">
        <v>46</v>
      </c>
      <c r="K39" t="s">
        <v>30</v>
      </c>
      <c r="L39" t="s">
        <v>34</v>
      </c>
      <c r="M39" t="s">
        <v>15</v>
      </c>
      <c r="N39" t="s">
        <v>31</v>
      </c>
      <c r="O39" t="s">
        <v>16</v>
      </c>
      <c r="P39" s="14">
        <v>0.6</v>
      </c>
      <c r="Q39" s="14">
        <v>508.53</v>
      </c>
      <c r="R39" s="18">
        <v>1979.03</v>
      </c>
      <c r="S39" s="13" t="s">
        <v>46</v>
      </c>
      <c r="T39" t="s">
        <v>30</v>
      </c>
      <c r="U39" t="s">
        <v>34</v>
      </c>
      <c r="V39" t="s">
        <v>17</v>
      </c>
      <c r="W39" t="s">
        <v>31</v>
      </c>
      <c r="X39" t="s">
        <v>18</v>
      </c>
      <c r="Y39" s="16">
        <v>0.78</v>
      </c>
      <c r="Z39" s="16">
        <v>656.85</v>
      </c>
      <c r="AA39" s="16">
        <v>2161.54</v>
      </c>
      <c r="AB39" s="13" t="s">
        <v>46</v>
      </c>
      <c r="AC39" t="s">
        <v>30</v>
      </c>
      <c r="AD39" t="s">
        <v>34</v>
      </c>
      <c r="AE39" t="s">
        <v>19</v>
      </c>
      <c r="AF39" t="s">
        <v>31</v>
      </c>
      <c r="AG39" t="s">
        <v>20</v>
      </c>
      <c r="AH39" s="16">
        <v>0.53</v>
      </c>
      <c r="AI39" s="16">
        <v>466.15</v>
      </c>
      <c r="AJ39" s="16">
        <v>1768.53</v>
      </c>
      <c r="AK39" s="13" t="s">
        <v>46</v>
      </c>
      <c r="AL39" t="s">
        <v>30</v>
      </c>
      <c r="AM39" t="s">
        <v>34</v>
      </c>
      <c r="AN39" t="s">
        <v>21</v>
      </c>
      <c r="AO39" t="s">
        <v>31</v>
      </c>
      <c r="AP39" t="s">
        <v>22</v>
      </c>
      <c r="AQ39" s="16">
        <v>0.12</v>
      </c>
      <c r="AR39" s="16">
        <v>105.94</v>
      </c>
      <c r="AS39" s="30">
        <v>982.52</v>
      </c>
    </row>
    <row r="40" spans="1:45" x14ac:dyDescent="0.25">
      <c r="A40" s="13" t="s">
        <v>46</v>
      </c>
      <c r="B40" t="s">
        <v>32</v>
      </c>
      <c r="C40" t="s">
        <v>34</v>
      </c>
      <c r="D40" t="s">
        <v>12</v>
      </c>
      <c r="E40" t="s">
        <v>31</v>
      </c>
      <c r="F40" t="s">
        <v>18</v>
      </c>
      <c r="G40" s="16" t="s">
        <v>26</v>
      </c>
      <c r="H40" s="16" t="s">
        <v>26</v>
      </c>
      <c r="I40" s="16" t="s">
        <v>26</v>
      </c>
      <c r="J40" s="13" t="s">
        <v>46</v>
      </c>
      <c r="K40" t="s">
        <v>32</v>
      </c>
      <c r="L40" t="s">
        <v>34</v>
      </c>
      <c r="M40" t="s">
        <v>15</v>
      </c>
      <c r="N40" t="s">
        <v>31</v>
      </c>
      <c r="O40" t="s">
        <v>14</v>
      </c>
      <c r="P40" s="14">
        <v>0.61</v>
      </c>
      <c r="Q40" s="14">
        <v>496.34</v>
      </c>
      <c r="R40" s="18">
        <v>1560.03</v>
      </c>
      <c r="S40" s="13" t="s">
        <v>46</v>
      </c>
      <c r="T40" t="s">
        <v>32</v>
      </c>
      <c r="U40" t="s">
        <v>34</v>
      </c>
      <c r="V40" t="s">
        <v>17</v>
      </c>
      <c r="W40" t="s">
        <v>31</v>
      </c>
      <c r="X40" t="s">
        <v>22</v>
      </c>
      <c r="Y40" s="16">
        <v>0.3</v>
      </c>
      <c r="Z40" s="16">
        <v>275.45</v>
      </c>
      <c r="AA40" s="16">
        <v>1179.02</v>
      </c>
      <c r="AB40" s="13" t="s">
        <v>46</v>
      </c>
      <c r="AC40" t="s">
        <v>32</v>
      </c>
      <c r="AD40" t="s">
        <v>34</v>
      </c>
      <c r="AE40" t="s">
        <v>19</v>
      </c>
      <c r="AF40" t="s">
        <v>31</v>
      </c>
      <c r="AG40" t="s">
        <v>16</v>
      </c>
      <c r="AH40" s="16">
        <v>0.09</v>
      </c>
      <c r="AI40" s="16">
        <v>127.13</v>
      </c>
      <c r="AJ40" s="16">
        <v>1572.03</v>
      </c>
      <c r="AK40" s="13" t="s">
        <v>46</v>
      </c>
      <c r="AL40" t="s">
        <v>32</v>
      </c>
      <c r="AM40" t="s">
        <v>34</v>
      </c>
      <c r="AN40" t="s">
        <v>21</v>
      </c>
      <c r="AO40" t="s">
        <v>31</v>
      </c>
      <c r="AP40" t="s">
        <v>20</v>
      </c>
      <c r="AQ40" s="14">
        <v>0.17</v>
      </c>
      <c r="AR40" s="14">
        <v>173.51</v>
      </c>
      <c r="AS40" s="18">
        <v>1187.02</v>
      </c>
    </row>
    <row r="41" spans="1:45" x14ac:dyDescent="0.25">
      <c r="A41" s="13" t="s">
        <v>47</v>
      </c>
      <c r="B41" t="s">
        <v>30</v>
      </c>
      <c r="C41" t="s">
        <v>34</v>
      </c>
      <c r="D41" t="s">
        <v>12</v>
      </c>
      <c r="E41" t="s">
        <v>31</v>
      </c>
      <c r="F41" t="s">
        <v>16</v>
      </c>
      <c r="G41" s="16">
        <v>0.28000000000000003</v>
      </c>
      <c r="H41" s="16">
        <v>360.21</v>
      </c>
      <c r="I41" s="16">
        <v>4323.08</v>
      </c>
      <c r="J41" s="13" t="s">
        <v>47</v>
      </c>
      <c r="K41" t="s">
        <v>30</v>
      </c>
      <c r="L41" t="s">
        <v>34</v>
      </c>
      <c r="M41" t="s">
        <v>15</v>
      </c>
      <c r="N41" t="s">
        <v>31</v>
      </c>
      <c r="O41" t="s">
        <v>22</v>
      </c>
      <c r="P41" s="14">
        <v>0.84</v>
      </c>
      <c r="Q41" s="14">
        <v>779.8</v>
      </c>
      <c r="R41" s="18">
        <v>3924.07</v>
      </c>
      <c r="S41" s="13" t="s">
        <v>47</v>
      </c>
      <c r="T41" t="s">
        <v>30</v>
      </c>
      <c r="U41" t="s">
        <v>34</v>
      </c>
      <c r="V41" t="s">
        <v>17</v>
      </c>
      <c r="W41" t="s">
        <v>31</v>
      </c>
      <c r="X41" t="s">
        <v>20</v>
      </c>
      <c r="Y41" s="14">
        <v>0.4</v>
      </c>
      <c r="Z41" s="14">
        <v>327.64</v>
      </c>
      <c r="AA41" s="14">
        <v>1375.52</v>
      </c>
      <c r="AB41" s="13" t="s">
        <v>47</v>
      </c>
      <c r="AC41" t="s">
        <v>30</v>
      </c>
      <c r="AD41" t="s">
        <v>34</v>
      </c>
      <c r="AE41" t="s">
        <v>19</v>
      </c>
      <c r="AF41" t="s">
        <v>31</v>
      </c>
      <c r="AG41" t="s">
        <v>14</v>
      </c>
      <c r="AH41" s="14">
        <v>0.35</v>
      </c>
      <c r="AI41" s="14">
        <v>310.83</v>
      </c>
      <c r="AJ41" s="14">
        <v>1375.52</v>
      </c>
      <c r="AK41" s="13" t="s">
        <v>47</v>
      </c>
      <c r="AL41" t="s">
        <v>30</v>
      </c>
      <c r="AM41" t="s">
        <v>34</v>
      </c>
      <c r="AN41" t="s">
        <v>21</v>
      </c>
      <c r="AO41" t="s">
        <v>31</v>
      </c>
      <c r="AP41" t="s">
        <v>18</v>
      </c>
      <c r="AQ41" s="14" t="s">
        <v>26</v>
      </c>
      <c r="AR41" s="14" t="s">
        <v>26</v>
      </c>
      <c r="AS41" s="18" t="s">
        <v>26</v>
      </c>
    </row>
    <row r="42" spans="1:45" x14ac:dyDescent="0.25">
      <c r="A42" s="13" t="s">
        <v>47</v>
      </c>
      <c r="B42" t="s">
        <v>32</v>
      </c>
      <c r="C42" t="s">
        <v>34</v>
      </c>
      <c r="D42" t="s">
        <v>12</v>
      </c>
      <c r="E42" t="s">
        <v>31</v>
      </c>
      <c r="F42" t="s">
        <v>18</v>
      </c>
      <c r="G42" s="16">
        <v>0.52</v>
      </c>
      <c r="H42" s="16">
        <v>466.15</v>
      </c>
      <c r="I42" s="16">
        <v>2554.5500000000002</v>
      </c>
      <c r="J42" s="13" t="s">
        <v>47</v>
      </c>
      <c r="K42" t="s">
        <v>32</v>
      </c>
      <c r="L42" t="s">
        <v>34</v>
      </c>
      <c r="M42" t="s">
        <v>15</v>
      </c>
      <c r="N42" t="s">
        <v>31</v>
      </c>
      <c r="O42" t="s">
        <v>14</v>
      </c>
      <c r="P42" s="14" t="s">
        <v>26</v>
      </c>
      <c r="Q42" s="14" t="s">
        <v>26</v>
      </c>
      <c r="R42" s="18" t="s">
        <v>26</v>
      </c>
      <c r="S42" s="13" t="s">
        <v>47</v>
      </c>
      <c r="T42" t="s">
        <v>32</v>
      </c>
      <c r="U42" t="s">
        <v>34</v>
      </c>
      <c r="V42" t="s">
        <v>17</v>
      </c>
      <c r="W42" t="s">
        <v>31</v>
      </c>
      <c r="X42" t="s">
        <v>20</v>
      </c>
      <c r="Y42" s="16">
        <v>0.75</v>
      </c>
      <c r="Z42" s="16">
        <v>614.48</v>
      </c>
      <c r="AA42" s="16">
        <v>1965.03</v>
      </c>
      <c r="AB42" s="13" t="s">
        <v>47</v>
      </c>
      <c r="AC42" t="s">
        <v>32</v>
      </c>
      <c r="AD42" t="s">
        <v>34</v>
      </c>
      <c r="AE42" t="s">
        <v>19</v>
      </c>
      <c r="AF42" t="s">
        <v>31</v>
      </c>
      <c r="AG42" t="s">
        <v>22</v>
      </c>
      <c r="AH42" s="16">
        <v>0.18</v>
      </c>
      <c r="AI42" s="16">
        <v>190.7</v>
      </c>
      <c r="AJ42" s="16">
        <v>1375.52</v>
      </c>
      <c r="AK42" s="13" t="s">
        <v>47</v>
      </c>
      <c r="AL42" t="s">
        <v>32</v>
      </c>
      <c r="AM42" t="s">
        <v>34</v>
      </c>
      <c r="AN42" t="s">
        <v>21</v>
      </c>
      <c r="AO42" t="s">
        <v>31</v>
      </c>
      <c r="AP42" t="s">
        <v>16</v>
      </c>
      <c r="AQ42" s="16" t="s">
        <v>26</v>
      </c>
      <c r="AR42" s="16" t="s">
        <v>26</v>
      </c>
      <c r="AS42" s="30" t="s">
        <v>26</v>
      </c>
    </row>
    <row r="43" spans="1:45" x14ac:dyDescent="0.25">
      <c r="A43" s="13" t="s">
        <v>48</v>
      </c>
      <c r="B43" t="s">
        <v>30</v>
      </c>
      <c r="C43" t="s">
        <v>34</v>
      </c>
      <c r="D43" t="s">
        <v>12</v>
      </c>
      <c r="E43" t="s">
        <v>31</v>
      </c>
      <c r="F43" t="s">
        <v>18</v>
      </c>
      <c r="G43" s="16" t="s">
        <v>26</v>
      </c>
      <c r="H43" s="16" t="s">
        <v>26</v>
      </c>
      <c r="I43" s="16" t="s">
        <v>26</v>
      </c>
      <c r="J43" s="13" t="s">
        <v>48</v>
      </c>
      <c r="K43" t="s">
        <v>30</v>
      </c>
      <c r="L43" t="s">
        <v>34</v>
      </c>
      <c r="M43" t="s">
        <v>15</v>
      </c>
      <c r="N43" t="s">
        <v>31</v>
      </c>
      <c r="O43" t="s">
        <v>20</v>
      </c>
      <c r="P43" s="16" t="s">
        <v>26</v>
      </c>
      <c r="Q43" s="16" t="s">
        <v>26</v>
      </c>
      <c r="R43" s="30" t="s">
        <v>26</v>
      </c>
      <c r="S43" s="13" t="s">
        <v>48</v>
      </c>
      <c r="T43" t="s">
        <v>30</v>
      </c>
      <c r="U43" t="s">
        <v>34</v>
      </c>
      <c r="V43" t="s">
        <v>17</v>
      </c>
      <c r="W43" t="s">
        <v>31</v>
      </c>
      <c r="X43" t="s">
        <v>14</v>
      </c>
      <c r="Y43" s="16" t="s">
        <v>26</v>
      </c>
      <c r="Z43" s="16" t="s">
        <v>26</v>
      </c>
      <c r="AA43" s="16" t="s">
        <v>26</v>
      </c>
      <c r="AB43" s="13" t="s">
        <v>48</v>
      </c>
      <c r="AC43" t="s">
        <v>30</v>
      </c>
      <c r="AD43" t="s">
        <v>34</v>
      </c>
      <c r="AE43" t="s">
        <v>19</v>
      </c>
      <c r="AF43" t="s">
        <v>31</v>
      </c>
      <c r="AG43" t="s">
        <v>16</v>
      </c>
      <c r="AH43" s="16" t="s">
        <v>26</v>
      </c>
      <c r="AI43" s="16" t="s">
        <v>26</v>
      </c>
      <c r="AJ43" s="16" t="s">
        <v>26</v>
      </c>
      <c r="AK43" s="13" t="s">
        <v>48</v>
      </c>
      <c r="AL43" t="s">
        <v>30</v>
      </c>
      <c r="AM43" t="s">
        <v>34</v>
      </c>
      <c r="AN43" t="s">
        <v>21</v>
      </c>
      <c r="AO43" t="s">
        <v>31</v>
      </c>
      <c r="AP43" t="s">
        <v>22</v>
      </c>
      <c r="AQ43" s="16" t="s">
        <v>26</v>
      </c>
      <c r="AR43" s="16" t="s">
        <v>26</v>
      </c>
      <c r="AS43" s="30" t="s">
        <v>26</v>
      </c>
    </row>
    <row r="44" spans="1:45" x14ac:dyDescent="0.25">
      <c r="A44" s="13" t="s">
        <v>48</v>
      </c>
      <c r="B44" t="s">
        <v>32</v>
      </c>
      <c r="C44" t="s">
        <v>34</v>
      </c>
      <c r="D44" t="s">
        <v>12</v>
      </c>
      <c r="E44" t="s">
        <v>31</v>
      </c>
      <c r="F44" t="s">
        <v>14</v>
      </c>
      <c r="G44" s="14">
        <v>0.96</v>
      </c>
      <c r="H44" s="14">
        <v>796.17</v>
      </c>
      <c r="I44" s="14">
        <v>4161.54</v>
      </c>
      <c r="J44" s="13" t="s">
        <v>48</v>
      </c>
      <c r="K44" t="s">
        <v>32</v>
      </c>
      <c r="L44" t="s">
        <v>34</v>
      </c>
      <c r="M44" t="s">
        <v>15</v>
      </c>
      <c r="N44" t="s">
        <v>31</v>
      </c>
      <c r="O44" t="s">
        <v>22</v>
      </c>
      <c r="P44" s="16">
        <v>0.92</v>
      </c>
      <c r="Q44" s="16">
        <v>783.99</v>
      </c>
      <c r="R44" s="30">
        <v>2554.5500000000002</v>
      </c>
      <c r="S44" s="13" t="s">
        <v>48</v>
      </c>
      <c r="T44" t="s">
        <v>32</v>
      </c>
      <c r="U44" t="s">
        <v>34</v>
      </c>
      <c r="V44" t="s">
        <v>17</v>
      </c>
      <c r="W44" t="s">
        <v>31</v>
      </c>
      <c r="X44" t="s">
        <v>20</v>
      </c>
      <c r="Y44" s="16">
        <v>1.17</v>
      </c>
      <c r="Z44" s="16">
        <v>911.12</v>
      </c>
      <c r="AA44" s="16">
        <v>2161.54</v>
      </c>
      <c r="AB44" s="13" t="s">
        <v>48</v>
      </c>
      <c r="AC44" t="s">
        <v>32</v>
      </c>
      <c r="AD44" t="s">
        <v>34</v>
      </c>
      <c r="AE44" t="s">
        <v>19</v>
      </c>
      <c r="AF44" t="s">
        <v>31</v>
      </c>
      <c r="AG44" t="s">
        <v>16</v>
      </c>
      <c r="AH44" s="16">
        <v>0.36</v>
      </c>
      <c r="AI44" s="16">
        <v>381.4</v>
      </c>
      <c r="AJ44" s="16">
        <v>2161.54</v>
      </c>
      <c r="AK44" s="13" t="s">
        <v>48</v>
      </c>
      <c r="AL44" t="s">
        <v>32</v>
      </c>
      <c r="AM44" t="s">
        <v>34</v>
      </c>
      <c r="AN44" t="s">
        <v>21</v>
      </c>
      <c r="AO44" t="s">
        <v>31</v>
      </c>
      <c r="AP44" t="s">
        <v>18</v>
      </c>
      <c r="AQ44" s="16">
        <v>0.24</v>
      </c>
      <c r="AR44" s="16">
        <v>211.89</v>
      </c>
      <c r="AS44" s="30">
        <v>786.01</v>
      </c>
    </row>
    <row r="45" spans="1:45" x14ac:dyDescent="0.25">
      <c r="A45" s="13" t="s">
        <v>49</v>
      </c>
      <c r="B45" t="s">
        <v>30</v>
      </c>
      <c r="C45" t="s">
        <v>34</v>
      </c>
      <c r="D45" t="s">
        <v>12</v>
      </c>
      <c r="E45" t="s">
        <v>31</v>
      </c>
      <c r="F45" t="s">
        <v>22</v>
      </c>
      <c r="G45" s="16">
        <v>0.22</v>
      </c>
      <c r="H45" s="16">
        <v>233.08</v>
      </c>
      <c r="I45" s="16">
        <v>1965.03</v>
      </c>
      <c r="J45" s="13" t="s">
        <v>49</v>
      </c>
      <c r="K45" t="s">
        <v>30</v>
      </c>
      <c r="L45" t="s">
        <v>34</v>
      </c>
      <c r="M45" t="s">
        <v>15</v>
      </c>
      <c r="N45" t="s">
        <v>31</v>
      </c>
      <c r="O45" t="s">
        <v>14</v>
      </c>
      <c r="P45" s="16">
        <v>0.37</v>
      </c>
      <c r="Q45" s="16">
        <v>296.64</v>
      </c>
      <c r="R45" s="30">
        <v>786.01</v>
      </c>
      <c r="S45" s="13" t="s">
        <v>49</v>
      </c>
      <c r="T45" t="s">
        <v>30</v>
      </c>
      <c r="U45" t="s">
        <v>34</v>
      </c>
      <c r="V45" t="s">
        <v>17</v>
      </c>
      <c r="W45" t="s">
        <v>31</v>
      </c>
      <c r="X45" t="s">
        <v>20</v>
      </c>
      <c r="Y45" s="16">
        <v>0.74</v>
      </c>
      <c r="Z45" s="16">
        <v>635.66</v>
      </c>
      <c r="AA45" s="16">
        <v>2161.54</v>
      </c>
      <c r="AB45" s="13" t="s">
        <v>49</v>
      </c>
      <c r="AC45" t="s">
        <v>30</v>
      </c>
      <c r="AD45" t="s">
        <v>34</v>
      </c>
      <c r="AE45" t="s">
        <v>19</v>
      </c>
      <c r="AF45" t="s">
        <v>31</v>
      </c>
      <c r="AG45" t="s">
        <v>18</v>
      </c>
      <c r="AH45" s="16">
        <v>0.68</v>
      </c>
      <c r="AI45" s="16">
        <v>529.72</v>
      </c>
      <c r="AJ45" s="16">
        <v>1179.02</v>
      </c>
      <c r="AK45" s="13" t="s">
        <v>49</v>
      </c>
      <c r="AL45" t="s">
        <v>30</v>
      </c>
      <c r="AM45" t="s">
        <v>34</v>
      </c>
      <c r="AN45" t="s">
        <v>21</v>
      </c>
      <c r="AO45" t="s">
        <v>31</v>
      </c>
      <c r="AP45" t="s">
        <v>16</v>
      </c>
      <c r="AQ45" s="16">
        <v>0.06</v>
      </c>
      <c r="AR45" s="16">
        <v>63.57</v>
      </c>
      <c r="AS45" s="30">
        <v>393.01</v>
      </c>
    </row>
    <row r="46" spans="1:45" x14ac:dyDescent="0.25">
      <c r="A46" s="13" t="s">
        <v>49</v>
      </c>
      <c r="B46" t="s">
        <v>32</v>
      </c>
      <c r="C46" t="s">
        <v>34</v>
      </c>
      <c r="D46" t="s">
        <v>12</v>
      </c>
      <c r="E46" t="s">
        <v>31</v>
      </c>
      <c r="F46" t="s">
        <v>22</v>
      </c>
      <c r="G46" s="16" t="s">
        <v>26</v>
      </c>
      <c r="H46" s="16" t="s">
        <v>26</v>
      </c>
      <c r="I46" s="16" t="s">
        <v>26</v>
      </c>
      <c r="J46" s="13" t="s">
        <v>49</v>
      </c>
      <c r="K46" t="s">
        <v>32</v>
      </c>
      <c r="L46" t="s">
        <v>34</v>
      </c>
      <c r="M46" t="s">
        <v>15</v>
      </c>
      <c r="N46" t="s">
        <v>31</v>
      </c>
      <c r="O46" t="s">
        <v>18</v>
      </c>
      <c r="P46" s="16" t="s">
        <v>26</v>
      </c>
      <c r="Q46" s="16" t="s">
        <v>26</v>
      </c>
      <c r="R46" s="30" t="s">
        <v>26</v>
      </c>
      <c r="S46" s="13" t="s">
        <v>49</v>
      </c>
      <c r="T46" t="s">
        <v>32</v>
      </c>
      <c r="U46" t="s">
        <v>34</v>
      </c>
      <c r="V46" t="s">
        <v>17</v>
      </c>
      <c r="W46" t="s">
        <v>31</v>
      </c>
      <c r="X46" t="s">
        <v>16</v>
      </c>
      <c r="Y46" s="16" t="s">
        <v>26</v>
      </c>
      <c r="Z46" s="16" t="s">
        <v>26</v>
      </c>
      <c r="AA46" s="16" t="s">
        <v>26</v>
      </c>
      <c r="AB46" s="13" t="s">
        <v>49</v>
      </c>
      <c r="AC46" t="s">
        <v>32</v>
      </c>
      <c r="AD46" t="s">
        <v>34</v>
      </c>
      <c r="AE46" t="s">
        <v>19</v>
      </c>
      <c r="AF46" t="s">
        <v>31</v>
      </c>
      <c r="AG46" t="s">
        <v>20</v>
      </c>
      <c r="AH46" s="16" t="s">
        <v>26</v>
      </c>
      <c r="AI46" s="16" t="s">
        <v>26</v>
      </c>
      <c r="AJ46" s="16" t="s">
        <v>26</v>
      </c>
      <c r="AK46" s="13" t="s">
        <v>49</v>
      </c>
      <c r="AL46" t="s">
        <v>32</v>
      </c>
      <c r="AM46" t="s">
        <v>34</v>
      </c>
      <c r="AN46" t="s">
        <v>21</v>
      </c>
      <c r="AO46" t="s">
        <v>31</v>
      </c>
      <c r="AP46" t="s">
        <v>14</v>
      </c>
      <c r="AQ46" s="16" t="s">
        <v>26</v>
      </c>
      <c r="AR46" s="16" t="s">
        <v>26</v>
      </c>
      <c r="AS46" s="30" t="s">
        <v>26</v>
      </c>
    </row>
    <row r="47" spans="1:45" x14ac:dyDescent="0.25">
      <c r="A47" s="13" t="s">
        <v>50</v>
      </c>
      <c r="B47" t="s">
        <v>30</v>
      </c>
      <c r="C47" t="s">
        <v>34</v>
      </c>
      <c r="D47" t="s">
        <v>12</v>
      </c>
      <c r="E47" t="s">
        <v>31</v>
      </c>
      <c r="F47" t="s">
        <v>16</v>
      </c>
      <c r="G47" s="16">
        <v>0.25</v>
      </c>
      <c r="H47" s="16">
        <v>254.27</v>
      </c>
      <c r="I47" s="16">
        <v>2161.54</v>
      </c>
      <c r="J47" s="13" t="s">
        <v>50</v>
      </c>
      <c r="K47" t="s">
        <v>30</v>
      </c>
      <c r="L47" t="s">
        <v>34</v>
      </c>
      <c r="M47" t="s">
        <v>15</v>
      </c>
      <c r="N47" t="s">
        <v>31</v>
      </c>
      <c r="O47" t="s">
        <v>14</v>
      </c>
      <c r="P47" s="14">
        <v>0.74</v>
      </c>
      <c r="Q47" s="14">
        <v>614.1</v>
      </c>
      <c r="R47" s="18">
        <v>1974.03</v>
      </c>
      <c r="S47" s="13" t="s">
        <v>50</v>
      </c>
      <c r="T47" t="s">
        <v>30</v>
      </c>
      <c r="U47" t="s">
        <v>34</v>
      </c>
      <c r="V47" t="s">
        <v>17</v>
      </c>
      <c r="W47" t="s">
        <v>31</v>
      </c>
      <c r="X47" t="s">
        <v>18</v>
      </c>
      <c r="Y47" s="16">
        <v>0.48</v>
      </c>
      <c r="Z47" s="16">
        <v>423.78</v>
      </c>
      <c r="AA47" s="16">
        <v>1965.03</v>
      </c>
      <c r="AB47" s="13" t="s">
        <v>50</v>
      </c>
      <c r="AC47" t="s">
        <v>30</v>
      </c>
      <c r="AD47" t="s">
        <v>34</v>
      </c>
      <c r="AE47" t="s">
        <v>19</v>
      </c>
      <c r="AF47" t="s">
        <v>31</v>
      </c>
      <c r="AG47" t="s">
        <v>22</v>
      </c>
      <c r="AH47" s="16" t="s">
        <v>26</v>
      </c>
      <c r="AI47" s="16" t="s">
        <v>26</v>
      </c>
      <c r="AJ47" s="16" t="s">
        <v>26</v>
      </c>
      <c r="AK47" s="13" t="s">
        <v>50</v>
      </c>
      <c r="AL47" t="s">
        <v>30</v>
      </c>
      <c r="AM47" t="s">
        <v>34</v>
      </c>
      <c r="AN47" t="s">
        <v>21</v>
      </c>
      <c r="AO47" t="s">
        <v>31</v>
      </c>
      <c r="AP47" t="s">
        <v>20</v>
      </c>
      <c r="AQ47" s="14">
        <v>0.1</v>
      </c>
      <c r="AR47" s="14">
        <v>107.76</v>
      </c>
      <c r="AS47" s="18">
        <v>821.01</v>
      </c>
    </row>
    <row r="48" spans="1:45" x14ac:dyDescent="0.25">
      <c r="A48" s="13" t="s">
        <v>50</v>
      </c>
      <c r="B48" t="s">
        <v>32</v>
      </c>
      <c r="C48" t="s">
        <v>34</v>
      </c>
      <c r="D48" t="s">
        <v>12</v>
      </c>
      <c r="E48" t="s">
        <v>31</v>
      </c>
      <c r="F48" t="s">
        <v>18</v>
      </c>
      <c r="G48" s="16" t="s">
        <v>26</v>
      </c>
      <c r="H48" s="16" t="s">
        <v>26</v>
      </c>
      <c r="I48" s="16" t="s">
        <v>26</v>
      </c>
      <c r="J48" s="13" t="s">
        <v>50</v>
      </c>
      <c r="K48" t="s">
        <v>32</v>
      </c>
      <c r="L48" t="s">
        <v>34</v>
      </c>
      <c r="M48" t="s">
        <v>15</v>
      </c>
      <c r="N48" t="s">
        <v>31</v>
      </c>
      <c r="O48" t="s">
        <v>14</v>
      </c>
      <c r="P48" s="14">
        <v>0.63</v>
      </c>
      <c r="Q48" s="14">
        <v>551.91</v>
      </c>
      <c r="R48" s="18">
        <v>2179.54</v>
      </c>
      <c r="S48" s="13" t="s">
        <v>50</v>
      </c>
      <c r="T48" t="s">
        <v>32</v>
      </c>
      <c r="U48" t="s">
        <v>34</v>
      </c>
      <c r="V48" t="s">
        <v>17</v>
      </c>
      <c r="W48" t="s">
        <v>31</v>
      </c>
      <c r="X48" t="s">
        <v>20</v>
      </c>
      <c r="Y48" s="16">
        <v>0.22</v>
      </c>
      <c r="Z48" s="16">
        <v>190.7</v>
      </c>
      <c r="AA48" s="16">
        <v>982.52</v>
      </c>
      <c r="AB48" s="13" t="s">
        <v>50</v>
      </c>
      <c r="AC48" t="s">
        <v>32</v>
      </c>
      <c r="AD48" t="s">
        <v>34</v>
      </c>
      <c r="AE48" t="s">
        <v>19</v>
      </c>
      <c r="AF48" t="s">
        <v>31</v>
      </c>
      <c r="AG48" t="s">
        <v>16</v>
      </c>
      <c r="AH48" s="16">
        <v>0.14000000000000001</v>
      </c>
      <c r="AI48" s="16">
        <v>127.13</v>
      </c>
      <c r="AJ48" s="16">
        <v>1179.02</v>
      </c>
      <c r="AK48" s="13" t="s">
        <v>50</v>
      </c>
      <c r="AL48" t="s">
        <v>32</v>
      </c>
      <c r="AM48" t="s">
        <v>34</v>
      </c>
      <c r="AN48" t="s">
        <v>21</v>
      </c>
      <c r="AO48" t="s">
        <v>31</v>
      </c>
      <c r="AP48" t="s">
        <v>22</v>
      </c>
      <c r="AQ48" s="16">
        <v>0.05</v>
      </c>
      <c r="AR48" s="16">
        <v>84.76</v>
      </c>
      <c r="AS48" s="30">
        <v>1572.03</v>
      </c>
    </row>
    <row r="49" spans="1:45" x14ac:dyDescent="0.25">
      <c r="A49" s="13" t="s">
        <v>51</v>
      </c>
      <c r="B49" t="s">
        <v>30</v>
      </c>
      <c r="C49" t="s">
        <v>34</v>
      </c>
      <c r="D49" t="s">
        <v>12</v>
      </c>
      <c r="E49" t="s">
        <v>31</v>
      </c>
      <c r="F49" t="s">
        <v>22</v>
      </c>
      <c r="G49" s="16">
        <v>0.48</v>
      </c>
      <c r="H49" s="16">
        <v>466.15</v>
      </c>
      <c r="I49" s="16">
        <v>1572.03</v>
      </c>
      <c r="J49" s="13" t="s">
        <v>51</v>
      </c>
      <c r="K49" t="s">
        <v>30</v>
      </c>
      <c r="L49" t="s">
        <v>34</v>
      </c>
      <c r="M49" t="s">
        <v>15</v>
      </c>
      <c r="N49" t="s">
        <v>31</v>
      </c>
      <c r="O49" t="s">
        <v>14</v>
      </c>
      <c r="P49" s="14">
        <v>0.96</v>
      </c>
      <c r="Q49" s="14">
        <v>740.42</v>
      </c>
      <c r="R49" s="18">
        <v>1442.52</v>
      </c>
      <c r="S49" s="13" t="s">
        <v>51</v>
      </c>
      <c r="T49" t="s">
        <v>30</v>
      </c>
      <c r="U49" t="s">
        <v>34</v>
      </c>
      <c r="V49" t="s">
        <v>17</v>
      </c>
      <c r="W49" t="s">
        <v>31</v>
      </c>
      <c r="X49" t="s">
        <v>16</v>
      </c>
      <c r="Y49" s="16">
        <v>0.73</v>
      </c>
      <c r="Z49" s="16">
        <v>656.85</v>
      </c>
      <c r="AA49" s="16">
        <v>1768.53</v>
      </c>
      <c r="AB49" s="13" t="s">
        <v>51</v>
      </c>
      <c r="AC49" t="s">
        <v>30</v>
      </c>
      <c r="AD49" t="s">
        <v>34</v>
      </c>
      <c r="AE49" t="s">
        <v>19</v>
      </c>
      <c r="AF49" t="s">
        <v>31</v>
      </c>
      <c r="AG49" t="s">
        <v>20</v>
      </c>
      <c r="AH49" s="16">
        <v>0.89</v>
      </c>
      <c r="AI49" s="16">
        <v>783.99</v>
      </c>
      <c r="AJ49" s="16">
        <v>1965.03</v>
      </c>
      <c r="AK49" s="13" t="s">
        <v>51</v>
      </c>
      <c r="AL49" t="s">
        <v>30</v>
      </c>
      <c r="AM49" t="s">
        <v>34</v>
      </c>
      <c r="AN49" t="s">
        <v>21</v>
      </c>
      <c r="AO49" t="s">
        <v>31</v>
      </c>
      <c r="AP49" t="s">
        <v>18</v>
      </c>
      <c r="AQ49" s="16">
        <v>0.13</v>
      </c>
      <c r="AR49" s="16">
        <v>127.13</v>
      </c>
      <c r="AS49" s="30">
        <v>786.01</v>
      </c>
    </row>
    <row r="50" spans="1:45" x14ac:dyDescent="0.25">
      <c r="A50" s="19" t="s">
        <v>51</v>
      </c>
      <c r="B50" s="20" t="s">
        <v>32</v>
      </c>
      <c r="C50" s="20" t="s">
        <v>34</v>
      </c>
      <c r="D50" s="20" t="s">
        <v>12</v>
      </c>
      <c r="E50" s="20" t="s">
        <v>31</v>
      </c>
      <c r="F50" s="20" t="s">
        <v>14</v>
      </c>
      <c r="G50" s="23">
        <v>0.92</v>
      </c>
      <c r="H50" s="23">
        <v>746.61</v>
      </c>
      <c r="I50" s="23">
        <v>1951.03</v>
      </c>
      <c r="J50" s="19" t="s">
        <v>51</v>
      </c>
      <c r="K50" s="20" t="s">
        <v>32</v>
      </c>
      <c r="L50" s="20" t="s">
        <v>34</v>
      </c>
      <c r="M50" s="20" t="s">
        <v>15</v>
      </c>
      <c r="N50" s="20" t="s">
        <v>31</v>
      </c>
      <c r="O50" s="20" t="s">
        <v>20</v>
      </c>
      <c r="P50" s="23" t="s">
        <v>26</v>
      </c>
      <c r="Q50" s="23" t="s">
        <v>26</v>
      </c>
      <c r="R50" s="24" t="s">
        <v>26</v>
      </c>
      <c r="S50" s="19" t="s">
        <v>51</v>
      </c>
      <c r="T50" s="20" t="s">
        <v>32</v>
      </c>
      <c r="U50" s="20" t="s">
        <v>34</v>
      </c>
      <c r="V50" s="20" t="s">
        <v>17</v>
      </c>
      <c r="W50" s="20" t="s">
        <v>31</v>
      </c>
      <c r="X50" s="20" t="s">
        <v>22</v>
      </c>
      <c r="Y50" s="21">
        <v>0.88</v>
      </c>
      <c r="Z50" s="21">
        <v>699.23</v>
      </c>
      <c r="AA50" s="21">
        <v>1768.53</v>
      </c>
      <c r="AB50" s="19" t="s">
        <v>51</v>
      </c>
      <c r="AC50" s="20" t="s">
        <v>32</v>
      </c>
      <c r="AD50" s="20" t="s">
        <v>34</v>
      </c>
      <c r="AE50" s="20" t="s">
        <v>19</v>
      </c>
      <c r="AF50" s="20" t="s">
        <v>31</v>
      </c>
      <c r="AG50" s="20" t="s">
        <v>18</v>
      </c>
      <c r="AH50" s="21">
        <v>0.45</v>
      </c>
      <c r="AI50" s="21">
        <v>339.02</v>
      </c>
      <c r="AJ50" s="21">
        <v>982.52</v>
      </c>
      <c r="AK50" s="19" t="s">
        <v>51</v>
      </c>
      <c r="AL50" s="20" t="s">
        <v>32</v>
      </c>
      <c r="AM50" s="20" t="s">
        <v>34</v>
      </c>
      <c r="AN50" s="20" t="s">
        <v>21</v>
      </c>
      <c r="AO50" s="20" t="s">
        <v>31</v>
      </c>
      <c r="AP50" s="20" t="s">
        <v>16</v>
      </c>
      <c r="AQ50" s="23">
        <v>0.06</v>
      </c>
      <c r="AR50" s="23">
        <v>46.57</v>
      </c>
      <c r="AS50" s="24">
        <v>196.5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518A-D31F-47CE-8FED-4C78FE0D2C21}">
  <dimension ref="A1:AE55"/>
  <sheetViews>
    <sheetView topLeftCell="A13" workbookViewId="0">
      <selection activeCell="A26" sqref="A26:XFD26"/>
    </sheetView>
  </sheetViews>
  <sheetFormatPr defaultRowHeight="15" x14ac:dyDescent="0.25"/>
  <sheetData>
    <row r="1" spans="1:31" x14ac:dyDescent="0.25">
      <c r="A1" t="s">
        <v>11</v>
      </c>
      <c r="B1" s="9" t="s">
        <v>3</v>
      </c>
      <c r="C1" s="10" t="s">
        <v>4</v>
      </c>
      <c r="D1" s="11" t="s">
        <v>6</v>
      </c>
      <c r="E1" s="11" t="s">
        <v>52</v>
      </c>
      <c r="F1" s="10" t="s">
        <v>53</v>
      </c>
      <c r="G1" s="12" t="s">
        <v>54</v>
      </c>
      <c r="H1" s="9" t="s">
        <v>3</v>
      </c>
      <c r="I1" s="10" t="s">
        <v>4</v>
      </c>
      <c r="J1" s="11" t="s">
        <v>6</v>
      </c>
      <c r="K1" s="11" t="s">
        <v>52</v>
      </c>
      <c r="L1" s="10" t="s">
        <v>53</v>
      </c>
      <c r="M1" s="12" t="s">
        <v>54</v>
      </c>
      <c r="N1" s="9" t="s">
        <v>3</v>
      </c>
      <c r="O1" s="10" t="s">
        <v>4</v>
      </c>
      <c r="P1" s="11" t="s">
        <v>6</v>
      </c>
      <c r="Q1" s="11" t="s">
        <v>52</v>
      </c>
      <c r="R1" s="10" t="s">
        <v>53</v>
      </c>
      <c r="S1" s="12" t="s">
        <v>54</v>
      </c>
      <c r="T1" s="9" t="s">
        <v>3</v>
      </c>
      <c r="U1" s="10" t="s">
        <v>4</v>
      </c>
      <c r="V1" s="11" t="s">
        <v>6</v>
      </c>
      <c r="W1" s="11" t="s">
        <v>52</v>
      </c>
      <c r="X1" s="10" t="s">
        <v>53</v>
      </c>
      <c r="Y1" s="12" t="s">
        <v>54</v>
      </c>
      <c r="Z1" s="9" t="s">
        <v>3</v>
      </c>
      <c r="AA1" s="10" t="s">
        <v>4</v>
      </c>
      <c r="AB1" s="11" t="s">
        <v>6</v>
      </c>
      <c r="AC1" s="11" t="s">
        <v>52</v>
      </c>
      <c r="AD1" s="10" t="s">
        <v>53</v>
      </c>
      <c r="AE1" s="12" t="s">
        <v>54</v>
      </c>
    </row>
    <row r="2" spans="1:31" x14ac:dyDescent="0.25">
      <c r="B2" s="13" t="s">
        <v>12</v>
      </c>
      <c r="C2" t="s">
        <v>13</v>
      </c>
      <c r="D2" s="14">
        <v>2.08</v>
      </c>
      <c r="E2" s="14">
        <v>2947.6</v>
      </c>
      <c r="F2">
        <f>E2/1000</f>
        <v>2.9476</v>
      </c>
      <c r="G2" s="15">
        <f>D2/F2</f>
        <v>0.70565884109105714</v>
      </c>
      <c r="H2" s="13" t="s">
        <v>15</v>
      </c>
      <c r="I2" t="s">
        <v>13</v>
      </c>
      <c r="J2" s="16">
        <v>2.09</v>
      </c>
      <c r="K2" s="16">
        <v>3733.57</v>
      </c>
      <c r="L2">
        <f>K2/1000</f>
        <v>3.7335700000000003</v>
      </c>
      <c r="M2" s="15">
        <f>J2/L2</f>
        <v>0.55978594214116772</v>
      </c>
      <c r="N2" s="13" t="s">
        <v>17</v>
      </c>
      <c r="O2" t="s">
        <v>13</v>
      </c>
      <c r="P2" s="16">
        <v>2.0299999999999998</v>
      </c>
      <c r="Q2" s="16">
        <v>2751.05</v>
      </c>
      <c r="R2">
        <f>Q2/1000</f>
        <v>2.7510500000000002</v>
      </c>
      <c r="S2" s="15">
        <f>P2/R2</f>
        <v>0.73790007451700246</v>
      </c>
      <c r="T2" s="13" t="s">
        <v>19</v>
      </c>
      <c r="U2" t="s">
        <v>13</v>
      </c>
      <c r="V2" s="16">
        <v>0.28000000000000003</v>
      </c>
      <c r="W2" s="16">
        <v>786.01</v>
      </c>
      <c r="X2">
        <f>W2/1000</f>
        <v>0.78600999999999999</v>
      </c>
      <c r="Y2" s="15">
        <f>V2/X2</f>
        <v>0.35622956450935744</v>
      </c>
      <c r="Z2" s="13" t="s">
        <v>21</v>
      </c>
      <c r="AA2" t="s">
        <v>13</v>
      </c>
      <c r="AB2" s="16">
        <v>0.17</v>
      </c>
      <c r="AC2" s="16">
        <v>786.01</v>
      </c>
      <c r="AD2">
        <f>AC2/1000</f>
        <v>0.78600999999999999</v>
      </c>
      <c r="AE2" s="15">
        <f>AB2/AD2</f>
        <v>0.21628223559496701</v>
      </c>
    </row>
    <row r="3" spans="1:31" x14ac:dyDescent="0.25">
      <c r="B3" s="13" t="s">
        <v>12</v>
      </c>
      <c r="C3" t="s">
        <v>13</v>
      </c>
      <c r="D3" s="16">
        <v>1.05</v>
      </c>
      <c r="E3" s="16">
        <v>786.01</v>
      </c>
      <c r="F3">
        <f t="shared" ref="F3:F25" si="0">E3/1000</f>
        <v>0.78600999999999999</v>
      </c>
      <c r="G3" s="15">
        <f t="shared" ref="G3:G25" si="1">D3/F3</f>
        <v>1.3358608669100902</v>
      </c>
      <c r="H3" s="13" t="s">
        <v>15</v>
      </c>
      <c r="I3" t="s">
        <v>13</v>
      </c>
      <c r="J3" s="16">
        <v>2.5499999999999998</v>
      </c>
      <c r="K3" s="16">
        <v>3144.06</v>
      </c>
      <c r="L3">
        <f t="shared" ref="L3:L25" si="2">K3/1000</f>
        <v>3.1440600000000001</v>
      </c>
      <c r="M3" s="15">
        <f t="shared" ref="M3:M13" si="3">J3/L3</f>
        <v>0.81105322417511105</v>
      </c>
      <c r="N3" s="13" t="s">
        <v>17</v>
      </c>
      <c r="O3" t="s">
        <v>13</v>
      </c>
      <c r="P3" s="16">
        <v>2.92</v>
      </c>
      <c r="Q3" s="16">
        <v>2947.55</v>
      </c>
      <c r="R3">
        <f t="shared" ref="R3:R25" si="4">Q3/1000</f>
        <v>2.9475500000000001</v>
      </c>
      <c r="S3" s="15">
        <f t="shared" ref="S3:S13" si="5">P3/R3</f>
        <v>0.99065325439772012</v>
      </c>
      <c r="T3" s="13" t="s">
        <v>19</v>
      </c>
      <c r="U3" t="s">
        <v>13</v>
      </c>
      <c r="V3" s="16">
        <v>0.3</v>
      </c>
      <c r="W3" s="16">
        <v>786.01</v>
      </c>
      <c r="X3">
        <f t="shared" ref="X3:X24" si="6">W3/1000</f>
        <v>0.78600999999999999</v>
      </c>
      <c r="Y3" s="15">
        <f t="shared" ref="Y3:Y12" si="7">V3/X3</f>
        <v>0.38167453340288293</v>
      </c>
      <c r="Z3" s="13" t="s">
        <v>21</v>
      </c>
      <c r="AA3" t="s">
        <v>13</v>
      </c>
      <c r="AB3" s="16">
        <v>0.66</v>
      </c>
      <c r="AC3" s="16">
        <v>1179.02</v>
      </c>
      <c r="AD3">
        <f t="shared" ref="AD3:AD25" si="8">AC3/1000</f>
        <v>1.17902</v>
      </c>
      <c r="AE3" s="15">
        <f t="shared" ref="AE3:AE13" si="9">AB3/AD3</f>
        <v>0.55978694169734189</v>
      </c>
    </row>
    <row r="4" spans="1:31" x14ac:dyDescent="0.25">
      <c r="B4" s="13" t="s">
        <v>12</v>
      </c>
      <c r="C4" t="s">
        <v>13</v>
      </c>
      <c r="D4" s="17">
        <v>1.76</v>
      </c>
      <c r="E4" s="17">
        <v>3340.56</v>
      </c>
      <c r="F4">
        <f t="shared" si="0"/>
        <v>3.34056</v>
      </c>
      <c r="G4" s="15">
        <f t="shared" si="1"/>
        <v>0.52685777234954623</v>
      </c>
      <c r="H4" s="13" t="s">
        <v>15</v>
      </c>
      <c r="I4" t="s">
        <v>13</v>
      </c>
      <c r="J4" s="17">
        <v>2.39</v>
      </c>
      <c r="K4" s="17">
        <v>2358.04</v>
      </c>
      <c r="L4">
        <f t="shared" si="2"/>
        <v>2.3580399999999999</v>
      </c>
      <c r="M4" s="15">
        <f t="shared" si="3"/>
        <v>1.0135536292853387</v>
      </c>
      <c r="N4" s="13" t="s">
        <v>17</v>
      </c>
      <c r="O4" t="s">
        <v>13</v>
      </c>
      <c r="P4" s="17">
        <v>0.64</v>
      </c>
      <c r="Q4" s="17">
        <v>1375.52</v>
      </c>
      <c r="R4">
        <f t="shared" si="4"/>
        <v>1.3755200000000001</v>
      </c>
      <c r="S4" s="15">
        <f t="shared" si="5"/>
        <v>0.46527858555309992</v>
      </c>
      <c r="T4" s="13" t="s">
        <v>19</v>
      </c>
      <c r="U4" t="s">
        <v>13</v>
      </c>
      <c r="V4" s="17">
        <v>0.41</v>
      </c>
      <c r="W4" s="17">
        <v>1179.02</v>
      </c>
      <c r="X4">
        <f t="shared" si="6"/>
        <v>1.17902</v>
      </c>
      <c r="Y4" s="15">
        <f t="shared" si="7"/>
        <v>0.34774643347865175</v>
      </c>
      <c r="Z4" s="13" t="s">
        <v>21</v>
      </c>
      <c r="AA4" t="s">
        <v>13</v>
      </c>
      <c r="AB4" s="17">
        <v>0.17</v>
      </c>
      <c r="AC4" s="17">
        <v>786.01</v>
      </c>
      <c r="AD4">
        <f t="shared" si="8"/>
        <v>0.78600999999999999</v>
      </c>
      <c r="AE4" s="15">
        <f t="shared" si="9"/>
        <v>0.21628223559496701</v>
      </c>
    </row>
    <row r="5" spans="1:31" x14ac:dyDescent="0.25">
      <c r="B5" s="13" t="s">
        <v>12</v>
      </c>
      <c r="C5" t="s">
        <v>13</v>
      </c>
      <c r="D5" s="16">
        <v>0.68</v>
      </c>
      <c r="E5" s="16">
        <v>1179.02</v>
      </c>
      <c r="F5">
        <f t="shared" si="0"/>
        <v>1.17902</v>
      </c>
      <c r="G5" s="15">
        <f t="shared" si="1"/>
        <v>0.5767501823548371</v>
      </c>
      <c r="H5" s="13" t="s">
        <v>15</v>
      </c>
      <c r="I5" t="s">
        <v>13</v>
      </c>
      <c r="J5" s="16">
        <v>3.81</v>
      </c>
      <c r="K5" s="16">
        <v>4323.08</v>
      </c>
      <c r="L5">
        <f t="shared" si="2"/>
        <v>4.32308</v>
      </c>
      <c r="M5" s="15">
        <f t="shared" si="3"/>
        <v>0.88131609870740302</v>
      </c>
      <c r="N5" s="13" t="s">
        <v>17</v>
      </c>
      <c r="O5" t="s">
        <v>13</v>
      </c>
      <c r="P5" s="16">
        <v>0.47</v>
      </c>
      <c r="Q5" s="16">
        <v>786.01</v>
      </c>
      <c r="R5">
        <f t="shared" si="4"/>
        <v>0.78600999999999999</v>
      </c>
      <c r="S5" s="15">
        <f t="shared" si="5"/>
        <v>0.59795676899784989</v>
      </c>
      <c r="T5" s="13" t="s">
        <v>19</v>
      </c>
      <c r="U5" t="s">
        <v>13</v>
      </c>
      <c r="V5" s="16">
        <v>0.34</v>
      </c>
      <c r="W5" s="16">
        <v>589.51</v>
      </c>
      <c r="X5">
        <f t="shared" si="6"/>
        <v>0.58950999999999998</v>
      </c>
      <c r="Y5" s="15">
        <f t="shared" si="7"/>
        <v>0.5767501823548371</v>
      </c>
      <c r="Z5" s="13" t="s">
        <v>21</v>
      </c>
      <c r="AA5" t="s">
        <v>13</v>
      </c>
      <c r="AB5" s="16">
        <v>0.57999999999999996</v>
      </c>
      <c r="AC5" s="16">
        <v>786.01</v>
      </c>
      <c r="AD5">
        <f t="shared" si="8"/>
        <v>0.78600999999999999</v>
      </c>
      <c r="AE5" s="15">
        <f t="shared" si="9"/>
        <v>0.73790409791224021</v>
      </c>
    </row>
    <row r="6" spans="1:31" x14ac:dyDescent="0.25">
      <c r="B6" s="13" t="s">
        <v>12</v>
      </c>
      <c r="C6" t="s">
        <v>13</v>
      </c>
      <c r="D6" s="16">
        <v>4.2699999999999996</v>
      </c>
      <c r="E6" s="16">
        <v>5502.1</v>
      </c>
      <c r="F6">
        <f t="shared" si="0"/>
        <v>5.5021000000000004</v>
      </c>
      <c r="G6" s="15">
        <f t="shared" si="1"/>
        <v>0.77606731975064047</v>
      </c>
      <c r="H6" s="13" t="s">
        <v>15</v>
      </c>
      <c r="I6" t="s">
        <v>13</v>
      </c>
      <c r="J6" s="16">
        <v>1.67</v>
      </c>
      <c r="K6" s="16">
        <v>2554.5500000000002</v>
      </c>
      <c r="L6">
        <f t="shared" si="2"/>
        <v>2.5545500000000003</v>
      </c>
      <c r="M6" s="15">
        <f t="shared" si="3"/>
        <v>0.65373549157385835</v>
      </c>
      <c r="N6" s="13" t="s">
        <v>17</v>
      </c>
      <c r="O6" t="s">
        <v>13</v>
      </c>
      <c r="P6" s="16">
        <v>0.84</v>
      </c>
      <c r="Q6" s="16">
        <v>1572.03</v>
      </c>
      <c r="R6">
        <f t="shared" si="4"/>
        <v>1.57203</v>
      </c>
      <c r="S6" s="15">
        <f t="shared" si="5"/>
        <v>0.53434094769183793</v>
      </c>
      <c r="T6" s="13" t="s">
        <v>19</v>
      </c>
      <c r="U6" t="s">
        <v>13</v>
      </c>
      <c r="V6" s="14" t="s">
        <v>26</v>
      </c>
      <c r="W6" s="14" t="s">
        <v>26</v>
      </c>
      <c r="X6" s="14" t="s">
        <v>26</v>
      </c>
      <c r="Y6" s="18" t="s">
        <v>26</v>
      </c>
      <c r="Z6" s="13" t="s">
        <v>21</v>
      </c>
      <c r="AA6" t="s">
        <v>13</v>
      </c>
      <c r="AB6" s="16">
        <v>0.31</v>
      </c>
      <c r="AC6" s="16">
        <v>589.51</v>
      </c>
      <c r="AD6">
        <f t="shared" si="8"/>
        <v>0.58950999999999998</v>
      </c>
      <c r="AE6" s="15">
        <f t="shared" si="9"/>
        <v>0.52586046038235146</v>
      </c>
    </row>
    <row r="7" spans="1:31" x14ac:dyDescent="0.25">
      <c r="B7" s="13" t="s">
        <v>12</v>
      </c>
      <c r="C7" t="s">
        <v>13</v>
      </c>
      <c r="D7" s="16">
        <v>1.22</v>
      </c>
      <c r="E7" s="16">
        <v>1179.02</v>
      </c>
      <c r="F7">
        <f t="shared" si="0"/>
        <v>1.17902</v>
      </c>
      <c r="G7" s="15">
        <f t="shared" si="1"/>
        <v>1.0347576801072076</v>
      </c>
      <c r="H7" s="13" t="s">
        <v>15</v>
      </c>
      <c r="I7" t="s">
        <v>13</v>
      </c>
      <c r="J7" s="16">
        <v>0.75</v>
      </c>
      <c r="K7" s="16">
        <v>1179.02</v>
      </c>
      <c r="L7">
        <f t="shared" si="2"/>
        <v>1.17902</v>
      </c>
      <c r="M7" s="15">
        <f t="shared" si="3"/>
        <v>0.6361215246560703</v>
      </c>
      <c r="N7" s="13" t="s">
        <v>17</v>
      </c>
      <c r="O7" t="s">
        <v>13</v>
      </c>
      <c r="P7" s="16">
        <v>1.23</v>
      </c>
      <c r="Q7" s="16">
        <v>2161.54</v>
      </c>
      <c r="R7">
        <f t="shared" si="4"/>
        <v>2.16154</v>
      </c>
      <c r="S7" s="15">
        <f t="shared" si="5"/>
        <v>0.56903874089769335</v>
      </c>
      <c r="T7" s="13" t="s">
        <v>19</v>
      </c>
      <c r="U7" t="s">
        <v>13</v>
      </c>
      <c r="V7" s="16">
        <v>0.22</v>
      </c>
      <c r="W7" s="16">
        <v>393.01</v>
      </c>
      <c r="X7">
        <f t="shared" si="6"/>
        <v>0.39300999999999997</v>
      </c>
      <c r="Y7" s="15">
        <f t="shared" si="7"/>
        <v>0.55978219383730698</v>
      </c>
      <c r="Z7" s="13" t="s">
        <v>21</v>
      </c>
      <c r="AA7" t="s">
        <v>13</v>
      </c>
      <c r="AB7" s="16">
        <v>0.52</v>
      </c>
      <c r="AC7" s="16">
        <v>1179.02</v>
      </c>
      <c r="AD7">
        <f t="shared" si="8"/>
        <v>1.17902</v>
      </c>
      <c r="AE7" s="15">
        <f t="shared" si="9"/>
        <v>0.44104425709487544</v>
      </c>
    </row>
    <row r="8" spans="1:31" x14ac:dyDescent="0.25">
      <c r="B8" s="13" t="s">
        <v>12</v>
      </c>
      <c r="C8" t="s">
        <v>13</v>
      </c>
      <c r="D8" s="16">
        <v>1.2</v>
      </c>
      <c r="E8" s="16">
        <v>1179.02</v>
      </c>
      <c r="F8">
        <f t="shared" si="0"/>
        <v>1.17902</v>
      </c>
      <c r="G8" s="15">
        <f t="shared" si="1"/>
        <v>1.0177944394497125</v>
      </c>
      <c r="H8" s="13" t="s">
        <v>15</v>
      </c>
      <c r="I8" t="s">
        <v>13</v>
      </c>
      <c r="J8" s="16">
        <v>2.13</v>
      </c>
      <c r="K8" s="16">
        <v>2751.05</v>
      </c>
      <c r="L8">
        <f t="shared" si="2"/>
        <v>2.7510500000000002</v>
      </c>
      <c r="M8" s="15">
        <f t="shared" si="3"/>
        <v>0.77424983188237206</v>
      </c>
      <c r="N8" s="13" t="s">
        <v>17</v>
      </c>
      <c r="O8" t="s">
        <v>13</v>
      </c>
      <c r="P8" s="16">
        <v>1.19</v>
      </c>
      <c r="Q8" s="16">
        <v>2358.04</v>
      </c>
      <c r="R8">
        <f t="shared" si="4"/>
        <v>2.3580399999999999</v>
      </c>
      <c r="S8" s="15">
        <f t="shared" si="5"/>
        <v>0.50465640956048241</v>
      </c>
      <c r="T8" s="13" t="s">
        <v>19</v>
      </c>
      <c r="U8" t="s">
        <v>13</v>
      </c>
      <c r="V8" s="16">
        <v>0.6</v>
      </c>
      <c r="W8" s="16">
        <v>982.52</v>
      </c>
      <c r="X8">
        <f t="shared" si="6"/>
        <v>0.98251999999999995</v>
      </c>
      <c r="Y8" s="15">
        <f t="shared" si="7"/>
        <v>0.61067459186581441</v>
      </c>
      <c r="Z8" s="13" t="s">
        <v>21</v>
      </c>
      <c r="AA8" t="s">
        <v>13</v>
      </c>
      <c r="AB8" s="14" t="s">
        <v>26</v>
      </c>
      <c r="AC8" s="14" t="s">
        <v>26</v>
      </c>
      <c r="AD8" s="14" t="s">
        <v>26</v>
      </c>
      <c r="AE8" s="18" t="s">
        <v>26</v>
      </c>
    </row>
    <row r="9" spans="1:31" x14ac:dyDescent="0.25">
      <c r="B9" s="13" t="s">
        <v>12</v>
      </c>
      <c r="C9" t="s">
        <v>13</v>
      </c>
      <c r="D9" s="16">
        <v>0.22</v>
      </c>
      <c r="E9" s="16">
        <v>393.01</v>
      </c>
      <c r="F9">
        <f t="shared" si="0"/>
        <v>0.39300999999999997</v>
      </c>
      <c r="G9" s="15">
        <f t="shared" si="1"/>
        <v>0.55978219383730698</v>
      </c>
      <c r="H9" s="13" t="s">
        <v>15</v>
      </c>
      <c r="I9" t="s">
        <v>13</v>
      </c>
      <c r="J9" s="16">
        <v>2.13</v>
      </c>
      <c r="K9" s="16">
        <v>2358.04</v>
      </c>
      <c r="L9">
        <f t="shared" si="2"/>
        <v>2.3580399999999999</v>
      </c>
      <c r="M9" s="15">
        <f t="shared" si="3"/>
        <v>0.90329256501161981</v>
      </c>
      <c r="N9" s="13" t="s">
        <v>17</v>
      </c>
      <c r="O9" t="s">
        <v>13</v>
      </c>
      <c r="P9" s="16">
        <v>1.91</v>
      </c>
      <c r="Q9" s="16">
        <v>2751.05</v>
      </c>
      <c r="R9">
        <f t="shared" si="4"/>
        <v>2.7510500000000002</v>
      </c>
      <c r="S9" s="15">
        <f t="shared" si="5"/>
        <v>0.694280365678559</v>
      </c>
      <c r="T9" s="13" t="s">
        <v>19</v>
      </c>
      <c r="U9" t="s">
        <v>13</v>
      </c>
      <c r="V9" s="16">
        <v>0.48</v>
      </c>
      <c r="W9" s="16">
        <v>2554.5500000000002</v>
      </c>
      <c r="X9">
        <f t="shared" si="6"/>
        <v>2.5545500000000003</v>
      </c>
      <c r="Y9" s="15">
        <f t="shared" si="7"/>
        <v>0.18790002153021076</v>
      </c>
      <c r="Z9" s="13" t="s">
        <v>21</v>
      </c>
      <c r="AA9" t="s">
        <v>13</v>
      </c>
      <c r="AB9" s="14" t="s">
        <v>26</v>
      </c>
      <c r="AC9" s="14" t="s">
        <v>26</v>
      </c>
      <c r="AD9" s="14" t="s">
        <v>26</v>
      </c>
      <c r="AE9" s="18" t="s">
        <v>26</v>
      </c>
    </row>
    <row r="10" spans="1:31" x14ac:dyDescent="0.25">
      <c r="B10" s="13" t="s">
        <v>12</v>
      </c>
      <c r="C10" t="s">
        <v>13</v>
      </c>
      <c r="D10" s="16">
        <v>2.84</v>
      </c>
      <c r="E10" s="16">
        <v>2358.04</v>
      </c>
      <c r="F10">
        <f t="shared" si="0"/>
        <v>2.3580399999999999</v>
      </c>
      <c r="G10" s="15">
        <f t="shared" si="1"/>
        <v>1.2043900866821597</v>
      </c>
      <c r="H10" s="13" t="s">
        <v>15</v>
      </c>
      <c r="I10" t="s">
        <v>13</v>
      </c>
      <c r="J10" s="16">
        <v>2.48</v>
      </c>
      <c r="K10" s="16">
        <v>3340.56</v>
      </c>
      <c r="L10">
        <f t="shared" si="2"/>
        <v>3.34056</v>
      </c>
      <c r="M10" s="15">
        <f t="shared" si="3"/>
        <v>0.74239049740163321</v>
      </c>
      <c r="N10" s="13" t="s">
        <v>17</v>
      </c>
      <c r="O10" t="s">
        <v>13</v>
      </c>
      <c r="P10" s="16">
        <v>2.2400000000000002</v>
      </c>
      <c r="Q10" s="16">
        <v>2751.05</v>
      </c>
      <c r="R10">
        <f t="shared" si="4"/>
        <v>2.7510500000000002</v>
      </c>
      <c r="S10" s="15">
        <f t="shared" si="5"/>
        <v>0.81423456498427871</v>
      </c>
      <c r="T10" s="13" t="s">
        <v>19</v>
      </c>
      <c r="U10" t="s">
        <v>13</v>
      </c>
      <c r="V10" s="16">
        <v>0.35</v>
      </c>
      <c r="W10" s="16">
        <v>786.01</v>
      </c>
      <c r="X10">
        <f t="shared" si="6"/>
        <v>0.78600999999999999</v>
      </c>
      <c r="Y10" s="15">
        <f t="shared" si="7"/>
        <v>0.44528695563669674</v>
      </c>
      <c r="Z10" s="13" t="s">
        <v>21</v>
      </c>
      <c r="AA10" t="s">
        <v>13</v>
      </c>
      <c r="AB10" s="16">
        <v>0.35</v>
      </c>
      <c r="AC10" s="16">
        <v>393.01</v>
      </c>
      <c r="AD10">
        <f t="shared" si="8"/>
        <v>0.39300999999999997</v>
      </c>
      <c r="AE10" s="15">
        <f t="shared" si="9"/>
        <v>0.89056258110480646</v>
      </c>
    </row>
    <row r="11" spans="1:31" x14ac:dyDescent="0.25">
      <c r="B11" s="13" t="s">
        <v>12</v>
      </c>
      <c r="C11" t="s">
        <v>13</v>
      </c>
      <c r="D11" s="14" t="s">
        <v>26</v>
      </c>
      <c r="E11" s="14" t="s">
        <v>26</v>
      </c>
      <c r="F11" s="14" t="s">
        <v>26</v>
      </c>
      <c r="G11" s="18" t="s">
        <v>26</v>
      </c>
      <c r="H11" s="13" t="s">
        <v>15</v>
      </c>
      <c r="I11" t="s">
        <v>13</v>
      </c>
      <c r="J11" s="16">
        <v>1.39</v>
      </c>
      <c r="K11" s="16">
        <v>2161.54</v>
      </c>
      <c r="L11">
        <f t="shared" si="2"/>
        <v>2.16154</v>
      </c>
      <c r="M11" s="15">
        <f t="shared" si="3"/>
        <v>0.64306004052666155</v>
      </c>
      <c r="N11" s="13" t="s">
        <v>17</v>
      </c>
      <c r="O11" t="s">
        <v>13</v>
      </c>
      <c r="P11" s="14" t="s">
        <v>26</v>
      </c>
      <c r="Q11" s="14" t="s">
        <v>26</v>
      </c>
      <c r="R11" s="14" t="s">
        <v>26</v>
      </c>
      <c r="S11" s="18" t="s">
        <v>26</v>
      </c>
      <c r="T11" s="13" t="s">
        <v>19</v>
      </c>
      <c r="U11" t="s">
        <v>13</v>
      </c>
      <c r="V11" s="14" t="s">
        <v>26</v>
      </c>
      <c r="W11" s="14" t="s">
        <v>26</v>
      </c>
      <c r="X11" s="14" t="s">
        <v>26</v>
      </c>
      <c r="Y11" s="18" t="s">
        <v>26</v>
      </c>
      <c r="Z11" s="13" t="s">
        <v>21</v>
      </c>
      <c r="AA11" t="s">
        <v>13</v>
      </c>
      <c r="AB11" s="14" t="s">
        <v>26</v>
      </c>
      <c r="AC11" s="14" t="s">
        <v>26</v>
      </c>
      <c r="AD11" s="14" t="s">
        <v>26</v>
      </c>
      <c r="AE11" s="18" t="s">
        <v>26</v>
      </c>
    </row>
    <row r="12" spans="1:31" x14ac:dyDescent="0.25">
      <c r="B12" s="13" t="s">
        <v>12</v>
      </c>
      <c r="C12" t="s">
        <v>13</v>
      </c>
      <c r="D12" s="16">
        <v>3.46</v>
      </c>
      <c r="E12" s="16">
        <v>3733.57</v>
      </c>
      <c r="F12">
        <f t="shared" si="0"/>
        <v>3.7335700000000003</v>
      </c>
      <c r="G12" s="15">
        <f t="shared" si="1"/>
        <v>0.92672696641552177</v>
      </c>
      <c r="H12" s="13" t="s">
        <v>15</v>
      </c>
      <c r="I12" t="s">
        <v>13</v>
      </c>
      <c r="J12" s="16">
        <v>2.85</v>
      </c>
      <c r="K12" s="16">
        <v>3340.56</v>
      </c>
      <c r="L12">
        <f t="shared" si="2"/>
        <v>3.34056</v>
      </c>
      <c r="M12" s="15">
        <f t="shared" si="3"/>
        <v>0.85315036999784466</v>
      </c>
      <c r="N12" s="13" t="s">
        <v>17</v>
      </c>
      <c r="O12" t="s">
        <v>13</v>
      </c>
      <c r="P12" s="4">
        <v>3.3</v>
      </c>
      <c r="Q12" s="4">
        <v>3766.37</v>
      </c>
      <c r="R12">
        <f t="shared" si="4"/>
        <v>3.7663699999999998</v>
      </c>
      <c r="S12" s="15">
        <f t="shared" si="5"/>
        <v>0.87617520317971942</v>
      </c>
      <c r="T12" s="13" t="s">
        <v>19</v>
      </c>
      <c r="U12" t="s">
        <v>13</v>
      </c>
      <c r="V12" s="16">
        <v>1.75</v>
      </c>
      <c r="W12" s="16">
        <v>2947.55</v>
      </c>
      <c r="X12">
        <f t="shared" si="6"/>
        <v>2.9475500000000001</v>
      </c>
      <c r="Y12" s="15">
        <f t="shared" si="7"/>
        <v>0.59371342301233221</v>
      </c>
      <c r="Z12" s="13" t="s">
        <v>21</v>
      </c>
      <c r="AA12" t="s">
        <v>13</v>
      </c>
      <c r="AB12" s="16">
        <v>0.49</v>
      </c>
      <c r="AC12" s="16">
        <v>786.01</v>
      </c>
      <c r="AD12">
        <f t="shared" si="8"/>
        <v>0.78600999999999999</v>
      </c>
      <c r="AE12" s="15">
        <f t="shared" si="9"/>
        <v>0.62340173789137543</v>
      </c>
    </row>
    <row r="13" spans="1:31" x14ac:dyDescent="0.25">
      <c r="B13" s="13" t="s">
        <v>12</v>
      </c>
      <c r="C13" t="s">
        <v>13</v>
      </c>
      <c r="D13" s="16">
        <v>1.31</v>
      </c>
      <c r="E13" s="16">
        <v>1768.53</v>
      </c>
      <c r="F13">
        <f t="shared" si="0"/>
        <v>1.7685299999999999</v>
      </c>
      <c r="G13" s="15">
        <f t="shared" si="1"/>
        <v>0.74072817537729085</v>
      </c>
      <c r="H13" s="13" t="s">
        <v>15</v>
      </c>
      <c r="I13" t="s">
        <v>13</v>
      </c>
      <c r="J13" s="16">
        <v>2.2999999999999998</v>
      </c>
      <c r="K13" s="16">
        <v>2358.04</v>
      </c>
      <c r="L13">
        <f t="shared" si="2"/>
        <v>2.3580399999999999</v>
      </c>
      <c r="M13" s="15">
        <f t="shared" si="3"/>
        <v>0.97538633780597439</v>
      </c>
      <c r="N13" s="13" t="s">
        <v>17</v>
      </c>
      <c r="O13" t="s">
        <v>13</v>
      </c>
      <c r="P13" s="16">
        <v>2.48</v>
      </c>
      <c r="Q13" s="16">
        <v>3144.06</v>
      </c>
      <c r="R13">
        <f t="shared" si="4"/>
        <v>3.1440600000000001</v>
      </c>
      <c r="S13" s="15">
        <f t="shared" si="5"/>
        <v>0.78878901802128454</v>
      </c>
      <c r="T13" s="13" t="s">
        <v>19</v>
      </c>
      <c r="U13" t="s">
        <v>13</v>
      </c>
      <c r="V13" s="14" t="s">
        <v>26</v>
      </c>
      <c r="W13" s="14" t="s">
        <v>26</v>
      </c>
      <c r="X13" s="14" t="s">
        <v>26</v>
      </c>
      <c r="Y13" s="18" t="s">
        <v>26</v>
      </c>
      <c r="Z13" s="13" t="s">
        <v>21</v>
      </c>
      <c r="AA13" t="s">
        <v>13</v>
      </c>
      <c r="AB13" s="16">
        <v>0.77</v>
      </c>
      <c r="AC13" s="16">
        <v>786.01</v>
      </c>
      <c r="AD13">
        <f t="shared" si="8"/>
        <v>0.78600999999999999</v>
      </c>
      <c r="AE13" s="15">
        <f t="shared" si="9"/>
        <v>0.97963130240073282</v>
      </c>
    </row>
    <row r="14" spans="1:31" x14ac:dyDescent="0.25">
      <c r="B14" s="13" t="s">
        <v>12</v>
      </c>
      <c r="C14" t="s">
        <v>31</v>
      </c>
      <c r="D14" s="16">
        <v>3.01</v>
      </c>
      <c r="E14" s="16">
        <v>4323.08</v>
      </c>
      <c r="F14">
        <f t="shared" si="0"/>
        <v>4.32308</v>
      </c>
      <c r="G14" s="15">
        <f t="shared" si="1"/>
        <v>0.69626284963498242</v>
      </c>
      <c r="H14" s="13" t="s">
        <v>15</v>
      </c>
      <c r="I14" t="s">
        <v>31</v>
      </c>
      <c r="J14" s="16">
        <v>1.19</v>
      </c>
      <c r="K14" s="16">
        <v>2947.55</v>
      </c>
      <c r="L14">
        <f t="shared" si="2"/>
        <v>2.9475500000000001</v>
      </c>
      <c r="M14" s="15">
        <f t="shared" ref="M14:M25" si="10">J14/L14</f>
        <v>0.40372512764838592</v>
      </c>
      <c r="N14" s="13" t="s">
        <v>17</v>
      </c>
      <c r="O14" t="s">
        <v>31</v>
      </c>
      <c r="P14" s="16">
        <v>1.38</v>
      </c>
      <c r="Q14" s="16">
        <v>1965.03</v>
      </c>
      <c r="R14">
        <f t="shared" si="4"/>
        <v>1.9650300000000001</v>
      </c>
      <c r="S14" s="15">
        <f t="shared" ref="S14:S25" si="11">P14/R14</f>
        <v>0.70227935451367152</v>
      </c>
      <c r="T14" s="13" t="s">
        <v>19</v>
      </c>
      <c r="U14" t="s">
        <v>31</v>
      </c>
      <c r="V14" s="16">
        <v>0.41</v>
      </c>
      <c r="W14" s="16">
        <v>1179.02</v>
      </c>
      <c r="X14">
        <f t="shared" si="6"/>
        <v>1.17902</v>
      </c>
      <c r="Y14" s="15">
        <f t="shared" ref="Y14:Y24" si="12">V14/X14</f>
        <v>0.34774643347865175</v>
      </c>
      <c r="Z14" s="13" t="s">
        <v>21</v>
      </c>
      <c r="AA14" t="s">
        <v>31</v>
      </c>
      <c r="AB14" s="16">
        <v>0.19</v>
      </c>
      <c r="AC14" s="16">
        <v>589.51</v>
      </c>
      <c r="AD14">
        <f t="shared" si="8"/>
        <v>0.58950999999999998</v>
      </c>
      <c r="AE14" s="15">
        <f t="shared" ref="AE14:AE25" si="13">AB14/AD14</f>
        <v>0.32230157249240898</v>
      </c>
    </row>
    <row r="15" spans="1:31" x14ac:dyDescent="0.25">
      <c r="B15" s="13" t="s">
        <v>12</v>
      </c>
      <c r="C15" t="s">
        <v>31</v>
      </c>
      <c r="D15" s="16">
        <v>1.25</v>
      </c>
      <c r="E15" s="16">
        <v>1965.03</v>
      </c>
      <c r="F15">
        <f t="shared" si="0"/>
        <v>1.9650300000000001</v>
      </c>
      <c r="G15" s="15">
        <f t="shared" si="1"/>
        <v>0.6361226037261517</v>
      </c>
      <c r="H15" s="13" t="s">
        <v>15</v>
      </c>
      <c r="I15" t="s">
        <v>31</v>
      </c>
      <c r="J15" s="16">
        <v>1.4</v>
      </c>
      <c r="K15" s="16">
        <v>4323.08</v>
      </c>
      <c r="L15">
        <f t="shared" si="2"/>
        <v>4.32308</v>
      </c>
      <c r="M15" s="15">
        <f t="shared" si="10"/>
        <v>0.32384318587673599</v>
      </c>
      <c r="N15" s="13" t="s">
        <v>17</v>
      </c>
      <c r="O15" t="s">
        <v>31</v>
      </c>
      <c r="P15" s="16">
        <v>0.69</v>
      </c>
      <c r="Q15" s="16">
        <v>786.01</v>
      </c>
      <c r="R15">
        <f t="shared" si="4"/>
        <v>0.78600999999999999</v>
      </c>
      <c r="S15" s="15">
        <f t="shared" si="11"/>
        <v>0.87785142682663064</v>
      </c>
      <c r="T15" s="13" t="s">
        <v>19</v>
      </c>
      <c r="U15" t="s">
        <v>31</v>
      </c>
      <c r="V15" s="16">
        <v>0.24</v>
      </c>
      <c r="W15" s="16">
        <v>1000</v>
      </c>
      <c r="X15">
        <f t="shared" si="6"/>
        <v>1</v>
      </c>
      <c r="Y15" s="15">
        <f t="shared" si="12"/>
        <v>0.24</v>
      </c>
      <c r="Z15" s="13" t="s">
        <v>21</v>
      </c>
      <c r="AA15" t="s">
        <v>31</v>
      </c>
      <c r="AB15" s="16">
        <v>0.06</v>
      </c>
      <c r="AC15" s="16">
        <v>606.99</v>
      </c>
      <c r="AD15">
        <f t="shared" si="8"/>
        <v>0.60699000000000003</v>
      </c>
      <c r="AE15" s="15">
        <f t="shared" si="13"/>
        <v>9.8848415954134322E-2</v>
      </c>
    </row>
    <row r="16" spans="1:31" x14ac:dyDescent="0.25">
      <c r="B16" s="13" t="s">
        <v>12</v>
      </c>
      <c r="C16" t="s">
        <v>31</v>
      </c>
      <c r="D16" s="16">
        <v>0.09</v>
      </c>
      <c r="E16" s="16">
        <v>196.5</v>
      </c>
      <c r="F16">
        <f t="shared" si="0"/>
        <v>0.19650000000000001</v>
      </c>
      <c r="G16" s="15">
        <f t="shared" si="1"/>
        <v>0.4580152671755725</v>
      </c>
      <c r="H16" s="13" t="s">
        <v>15</v>
      </c>
      <c r="I16" t="s">
        <v>31</v>
      </c>
      <c r="J16" s="16">
        <v>1.42</v>
      </c>
      <c r="K16" s="16">
        <v>1768.53</v>
      </c>
      <c r="L16">
        <f t="shared" si="2"/>
        <v>1.7685299999999999</v>
      </c>
      <c r="M16" s="15">
        <f t="shared" si="10"/>
        <v>0.8029267244547732</v>
      </c>
      <c r="N16" s="13" t="s">
        <v>17</v>
      </c>
      <c r="O16" t="s">
        <v>31</v>
      </c>
      <c r="P16" s="16">
        <v>0.37</v>
      </c>
      <c r="Q16" s="16">
        <v>1179.02</v>
      </c>
      <c r="R16">
        <f t="shared" si="4"/>
        <v>1.17902</v>
      </c>
      <c r="S16" s="15">
        <f t="shared" si="11"/>
        <v>0.31381995216366138</v>
      </c>
      <c r="T16" s="13" t="s">
        <v>19</v>
      </c>
      <c r="U16" t="s">
        <v>31</v>
      </c>
      <c r="V16" s="16">
        <v>1.43</v>
      </c>
      <c r="W16" s="16">
        <v>2554.5500000000002</v>
      </c>
      <c r="X16">
        <f t="shared" si="6"/>
        <v>2.5545500000000003</v>
      </c>
      <c r="Y16" s="15">
        <f t="shared" si="12"/>
        <v>0.5597854808087529</v>
      </c>
      <c r="Z16" s="13" t="s">
        <v>21</v>
      </c>
      <c r="AA16" t="s">
        <v>31</v>
      </c>
      <c r="AB16" s="14" t="s">
        <v>26</v>
      </c>
      <c r="AC16" s="14" t="s">
        <v>26</v>
      </c>
      <c r="AD16" s="14" t="s">
        <v>26</v>
      </c>
      <c r="AE16" s="18" t="s">
        <v>26</v>
      </c>
    </row>
    <row r="17" spans="1:31" x14ac:dyDescent="0.25">
      <c r="B17" s="13" t="s">
        <v>12</v>
      </c>
      <c r="C17" t="s">
        <v>31</v>
      </c>
      <c r="D17" s="16">
        <v>1.86</v>
      </c>
      <c r="E17" s="16">
        <v>2751.05</v>
      </c>
      <c r="F17">
        <f t="shared" si="0"/>
        <v>2.7510500000000002</v>
      </c>
      <c r="G17" s="15">
        <f t="shared" si="1"/>
        <v>0.67610548699587425</v>
      </c>
      <c r="H17" s="13" t="s">
        <v>15</v>
      </c>
      <c r="I17" t="s">
        <v>31</v>
      </c>
      <c r="J17" s="14" t="s">
        <v>26</v>
      </c>
      <c r="K17" s="14" t="s">
        <v>26</v>
      </c>
      <c r="L17" s="14" t="s">
        <v>26</v>
      </c>
      <c r="M17" s="18" t="s">
        <v>26</v>
      </c>
      <c r="N17" s="13" t="s">
        <v>17</v>
      </c>
      <c r="O17" t="s">
        <v>31</v>
      </c>
      <c r="P17" s="14" t="s">
        <v>26</v>
      </c>
      <c r="Q17" s="14" t="s">
        <v>26</v>
      </c>
      <c r="R17" s="14" t="s">
        <v>26</v>
      </c>
      <c r="S17" s="18" t="s">
        <v>26</v>
      </c>
      <c r="T17" s="13" t="s">
        <v>19</v>
      </c>
      <c r="U17" t="s">
        <v>31</v>
      </c>
      <c r="V17" s="16">
        <v>0.93</v>
      </c>
      <c r="W17" s="16">
        <v>2358.04</v>
      </c>
      <c r="X17">
        <f t="shared" si="6"/>
        <v>2.3580399999999999</v>
      </c>
      <c r="Y17" s="15">
        <f t="shared" si="12"/>
        <v>0.39439534528676362</v>
      </c>
      <c r="Z17" s="13" t="s">
        <v>21</v>
      </c>
      <c r="AA17" t="s">
        <v>31</v>
      </c>
      <c r="AB17" s="14" t="s">
        <v>26</v>
      </c>
      <c r="AC17" s="14" t="s">
        <v>26</v>
      </c>
      <c r="AD17" s="14" t="s">
        <v>26</v>
      </c>
      <c r="AE17" s="18" t="s">
        <v>26</v>
      </c>
    </row>
    <row r="18" spans="1:31" x14ac:dyDescent="0.25">
      <c r="B18" s="13" t="s">
        <v>12</v>
      </c>
      <c r="C18" t="s">
        <v>31</v>
      </c>
      <c r="D18" s="16">
        <v>1.61</v>
      </c>
      <c r="E18" s="16">
        <v>1965.03</v>
      </c>
      <c r="F18">
        <f t="shared" si="0"/>
        <v>1.9650300000000001</v>
      </c>
      <c r="G18" s="15">
        <f t="shared" si="1"/>
        <v>0.81932591359928353</v>
      </c>
      <c r="H18" s="13" t="s">
        <v>15</v>
      </c>
      <c r="I18" t="s">
        <v>31</v>
      </c>
      <c r="J18" s="16">
        <v>1.6</v>
      </c>
      <c r="K18" s="16">
        <v>2161.54</v>
      </c>
      <c r="L18">
        <f t="shared" si="2"/>
        <v>2.16154</v>
      </c>
      <c r="M18" s="15">
        <f t="shared" si="10"/>
        <v>0.7402129962896824</v>
      </c>
      <c r="N18" s="13" t="s">
        <v>17</v>
      </c>
      <c r="O18" t="s">
        <v>31</v>
      </c>
      <c r="P18" s="16">
        <v>1.29</v>
      </c>
      <c r="Q18" s="16">
        <v>1768.53</v>
      </c>
      <c r="R18">
        <f t="shared" si="4"/>
        <v>1.7685299999999999</v>
      </c>
      <c r="S18" s="15">
        <f t="shared" si="11"/>
        <v>0.72941934827229393</v>
      </c>
      <c r="T18" s="13" t="s">
        <v>19</v>
      </c>
      <c r="U18" t="s">
        <v>31</v>
      </c>
      <c r="V18" s="16">
        <v>1.01</v>
      </c>
      <c r="W18" s="16">
        <v>2161.54</v>
      </c>
      <c r="X18">
        <f t="shared" si="6"/>
        <v>2.16154</v>
      </c>
      <c r="Y18" s="15">
        <f t="shared" si="12"/>
        <v>0.467259453907862</v>
      </c>
      <c r="Z18" s="13" t="s">
        <v>21</v>
      </c>
      <c r="AA18" t="s">
        <v>31</v>
      </c>
      <c r="AB18" s="16">
        <v>0.09</v>
      </c>
      <c r="AC18" s="16">
        <v>589.51</v>
      </c>
      <c r="AD18">
        <f t="shared" si="8"/>
        <v>0.58950999999999998</v>
      </c>
      <c r="AE18" s="15">
        <f t="shared" si="13"/>
        <v>0.15266916591745688</v>
      </c>
    </row>
    <row r="19" spans="1:31" x14ac:dyDescent="0.25">
      <c r="B19" s="13" t="s">
        <v>12</v>
      </c>
      <c r="C19" t="s">
        <v>31</v>
      </c>
      <c r="D19" s="16">
        <v>1.19</v>
      </c>
      <c r="E19" s="16">
        <v>2751.05</v>
      </c>
      <c r="F19">
        <f t="shared" si="0"/>
        <v>2.7510500000000002</v>
      </c>
      <c r="G19" s="15">
        <f t="shared" si="1"/>
        <v>0.43256211264789801</v>
      </c>
      <c r="H19" s="13" t="s">
        <v>15</v>
      </c>
      <c r="I19" t="s">
        <v>31</v>
      </c>
      <c r="J19" s="16">
        <v>0.54</v>
      </c>
      <c r="K19" s="16">
        <v>1375.52</v>
      </c>
      <c r="L19">
        <f t="shared" si="2"/>
        <v>1.3755200000000001</v>
      </c>
      <c r="M19" s="15">
        <f t="shared" si="10"/>
        <v>0.39257880656042804</v>
      </c>
      <c r="N19" s="13" t="s">
        <v>17</v>
      </c>
      <c r="O19" t="s">
        <v>31</v>
      </c>
      <c r="P19" s="16">
        <v>0.66</v>
      </c>
      <c r="Q19" s="16">
        <v>1375.52</v>
      </c>
      <c r="R19">
        <f t="shared" si="4"/>
        <v>1.3755200000000001</v>
      </c>
      <c r="S19" s="15">
        <f t="shared" si="11"/>
        <v>0.47981854135163426</v>
      </c>
      <c r="T19" s="13" t="s">
        <v>19</v>
      </c>
      <c r="U19" t="s">
        <v>31</v>
      </c>
      <c r="V19" s="16">
        <v>0.28000000000000003</v>
      </c>
      <c r="W19" s="16">
        <v>589.51</v>
      </c>
      <c r="X19">
        <f t="shared" si="6"/>
        <v>0.58950999999999998</v>
      </c>
      <c r="Y19" s="15">
        <f t="shared" si="12"/>
        <v>0.47497073840986587</v>
      </c>
      <c r="Z19" s="13" t="s">
        <v>21</v>
      </c>
      <c r="AA19" t="s">
        <v>31</v>
      </c>
      <c r="AB19" s="16">
        <v>0.08</v>
      </c>
      <c r="AC19" s="16">
        <v>1179.02</v>
      </c>
      <c r="AD19">
        <f t="shared" si="8"/>
        <v>1.17902</v>
      </c>
      <c r="AE19" s="15">
        <f t="shared" si="13"/>
        <v>6.7852962629980834E-2</v>
      </c>
    </row>
    <row r="20" spans="1:31" x14ac:dyDescent="0.25">
      <c r="B20" s="13" t="s">
        <v>12</v>
      </c>
      <c r="C20" t="s">
        <v>31</v>
      </c>
      <c r="D20" s="16">
        <v>0.53</v>
      </c>
      <c r="E20" s="16">
        <v>786.01</v>
      </c>
      <c r="F20">
        <f t="shared" si="0"/>
        <v>0.78600999999999999</v>
      </c>
      <c r="G20" s="15">
        <f t="shared" si="1"/>
        <v>0.67429167567842652</v>
      </c>
      <c r="H20" s="13" t="s">
        <v>15</v>
      </c>
      <c r="I20" t="s">
        <v>31</v>
      </c>
      <c r="J20" s="16">
        <v>0.87</v>
      </c>
      <c r="K20" s="16">
        <v>1375.52</v>
      </c>
      <c r="L20">
        <f t="shared" si="2"/>
        <v>1.3755200000000001</v>
      </c>
      <c r="M20" s="15">
        <f t="shared" si="10"/>
        <v>0.63248807723624512</v>
      </c>
      <c r="N20" s="13" t="s">
        <v>17</v>
      </c>
      <c r="O20" t="s">
        <v>31</v>
      </c>
      <c r="P20" s="16">
        <v>0.73</v>
      </c>
      <c r="Q20" s="16">
        <v>1572.03</v>
      </c>
      <c r="R20">
        <f t="shared" si="4"/>
        <v>1.57203</v>
      </c>
      <c r="S20" s="15">
        <f t="shared" si="11"/>
        <v>0.46436772835124007</v>
      </c>
      <c r="T20" s="13" t="s">
        <v>19</v>
      </c>
      <c r="U20" t="s">
        <v>31</v>
      </c>
      <c r="V20" s="16">
        <v>0.78</v>
      </c>
      <c r="W20" s="16">
        <v>1768.53</v>
      </c>
      <c r="X20">
        <f t="shared" si="6"/>
        <v>1.7685299999999999</v>
      </c>
      <c r="Y20" s="15">
        <f t="shared" si="12"/>
        <v>0.44104425709487544</v>
      </c>
      <c r="Z20" s="13" t="s">
        <v>21</v>
      </c>
      <c r="AA20" t="s">
        <v>31</v>
      </c>
      <c r="AB20" s="16">
        <v>0.05</v>
      </c>
      <c r="AC20" s="16">
        <v>393.01</v>
      </c>
      <c r="AD20">
        <f t="shared" si="8"/>
        <v>0.39300999999999997</v>
      </c>
      <c r="AE20" s="15">
        <f t="shared" si="13"/>
        <v>0.12722322587211524</v>
      </c>
    </row>
    <row r="21" spans="1:31" x14ac:dyDescent="0.25">
      <c r="B21" s="13" t="s">
        <v>12</v>
      </c>
      <c r="C21" t="s">
        <v>31</v>
      </c>
      <c r="D21" s="16">
        <v>0.33</v>
      </c>
      <c r="E21" s="16">
        <v>2358.04</v>
      </c>
      <c r="F21">
        <f t="shared" si="0"/>
        <v>2.3580399999999999</v>
      </c>
      <c r="G21" s="15">
        <f t="shared" si="1"/>
        <v>0.13994673542433547</v>
      </c>
      <c r="H21" s="13" t="s">
        <v>15</v>
      </c>
      <c r="I21" t="s">
        <v>31</v>
      </c>
      <c r="J21" s="16">
        <v>0.97</v>
      </c>
      <c r="K21" s="16">
        <v>2161.54</v>
      </c>
      <c r="L21">
        <f t="shared" si="2"/>
        <v>2.16154</v>
      </c>
      <c r="M21" s="15">
        <f t="shared" si="10"/>
        <v>0.44875412900061989</v>
      </c>
      <c r="N21" s="13" t="s">
        <v>17</v>
      </c>
      <c r="O21" t="s">
        <v>31</v>
      </c>
      <c r="P21" s="14">
        <v>1.82</v>
      </c>
      <c r="Q21" s="14">
        <v>786.01</v>
      </c>
      <c r="R21">
        <f t="shared" si="4"/>
        <v>0.78600999999999999</v>
      </c>
      <c r="S21" s="15">
        <f t="shared" si="11"/>
        <v>2.315492169310823</v>
      </c>
      <c r="T21" s="13" t="s">
        <v>19</v>
      </c>
      <c r="U21" t="s">
        <v>31</v>
      </c>
      <c r="V21" s="16">
        <v>0.42</v>
      </c>
      <c r="W21" s="16">
        <v>589.51</v>
      </c>
      <c r="X21">
        <f t="shared" si="6"/>
        <v>0.58950999999999998</v>
      </c>
      <c r="Y21" s="15">
        <f t="shared" si="12"/>
        <v>0.71245610761479872</v>
      </c>
      <c r="Z21" s="13" t="s">
        <v>21</v>
      </c>
      <c r="AA21" t="s">
        <v>31</v>
      </c>
      <c r="AB21" s="16">
        <v>0.09</v>
      </c>
      <c r="AC21" s="16">
        <v>393.01</v>
      </c>
      <c r="AD21">
        <f t="shared" si="8"/>
        <v>0.39300999999999997</v>
      </c>
      <c r="AE21" s="15">
        <f t="shared" si="13"/>
        <v>0.2290018065698074</v>
      </c>
    </row>
    <row r="22" spans="1:31" x14ac:dyDescent="0.25">
      <c r="B22" s="13" t="s">
        <v>12</v>
      </c>
      <c r="C22" t="s">
        <v>31</v>
      </c>
      <c r="D22" s="16">
        <v>1.24</v>
      </c>
      <c r="E22" s="16">
        <v>2358.04</v>
      </c>
      <c r="F22">
        <f t="shared" si="0"/>
        <v>2.3580399999999999</v>
      </c>
      <c r="G22" s="15">
        <f t="shared" si="1"/>
        <v>0.52586046038235146</v>
      </c>
      <c r="H22" s="13" t="s">
        <v>15</v>
      </c>
      <c r="I22" t="s">
        <v>31</v>
      </c>
      <c r="J22" s="16">
        <v>1.36</v>
      </c>
      <c r="K22" s="16">
        <v>2554.5500000000002</v>
      </c>
      <c r="L22">
        <f t="shared" si="2"/>
        <v>2.5545500000000003</v>
      </c>
      <c r="M22" s="15">
        <f t="shared" si="10"/>
        <v>0.53238339433559723</v>
      </c>
      <c r="N22" s="13" t="s">
        <v>17</v>
      </c>
      <c r="O22" t="s">
        <v>31</v>
      </c>
      <c r="P22" s="16">
        <v>0.75</v>
      </c>
      <c r="Q22" s="16">
        <v>786.01</v>
      </c>
      <c r="R22">
        <f t="shared" si="4"/>
        <v>0.78600999999999999</v>
      </c>
      <c r="S22" s="15">
        <f t="shared" si="11"/>
        <v>0.95418633350720727</v>
      </c>
      <c r="T22" s="13" t="s">
        <v>19</v>
      </c>
      <c r="U22" t="s">
        <v>31</v>
      </c>
      <c r="V22" s="16">
        <v>0.44</v>
      </c>
      <c r="W22" s="16">
        <v>786.01</v>
      </c>
      <c r="X22">
        <f t="shared" si="6"/>
        <v>0.78600999999999999</v>
      </c>
      <c r="Y22" s="15">
        <f t="shared" si="12"/>
        <v>0.55978931565756163</v>
      </c>
      <c r="Z22" s="13" t="s">
        <v>21</v>
      </c>
      <c r="AA22" t="s">
        <v>31</v>
      </c>
      <c r="AB22" s="14" t="s">
        <v>26</v>
      </c>
      <c r="AC22" s="14" t="s">
        <v>26</v>
      </c>
      <c r="AD22" s="14" t="s">
        <v>26</v>
      </c>
      <c r="AE22" s="18" t="s">
        <v>26</v>
      </c>
    </row>
    <row r="23" spans="1:31" x14ac:dyDescent="0.25">
      <c r="B23" s="13" t="s">
        <v>12</v>
      </c>
      <c r="C23" t="s">
        <v>31</v>
      </c>
      <c r="D23" s="16">
        <v>0.34</v>
      </c>
      <c r="E23" s="16">
        <v>982.52</v>
      </c>
      <c r="F23">
        <f t="shared" si="0"/>
        <v>0.98251999999999995</v>
      </c>
      <c r="G23" s="15">
        <f t="shared" si="1"/>
        <v>0.3460489353906282</v>
      </c>
      <c r="H23" s="13" t="s">
        <v>15</v>
      </c>
      <c r="I23" t="s">
        <v>31</v>
      </c>
      <c r="J23" s="16">
        <v>1.96</v>
      </c>
      <c r="K23" s="16">
        <v>3537.06</v>
      </c>
      <c r="L23">
        <f t="shared" si="2"/>
        <v>3.5370599999999999</v>
      </c>
      <c r="M23" s="15">
        <f t="shared" si="10"/>
        <v>0.55413252814484348</v>
      </c>
      <c r="N23" s="13" t="s">
        <v>17</v>
      </c>
      <c r="O23" t="s">
        <v>31</v>
      </c>
      <c r="P23" s="16">
        <v>1.06</v>
      </c>
      <c r="Q23" s="16">
        <v>982.52</v>
      </c>
      <c r="R23">
        <f t="shared" si="4"/>
        <v>0.98251999999999995</v>
      </c>
      <c r="S23" s="15">
        <f t="shared" si="11"/>
        <v>1.0788584456296055</v>
      </c>
      <c r="T23" s="13" t="s">
        <v>19</v>
      </c>
      <c r="U23" t="s">
        <v>31</v>
      </c>
      <c r="V23" s="14" t="s">
        <v>26</v>
      </c>
      <c r="W23" s="14" t="s">
        <v>26</v>
      </c>
      <c r="X23" s="14" t="s">
        <v>26</v>
      </c>
      <c r="Y23" s="18" t="s">
        <v>26</v>
      </c>
      <c r="Z23" s="13" t="s">
        <v>21</v>
      </c>
      <c r="AA23" t="s">
        <v>31</v>
      </c>
      <c r="AB23" s="14" t="s">
        <v>26</v>
      </c>
      <c r="AC23" s="14" t="s">
        <v>26</v>
      </c>
      <c r="AD23" s="14" t="s">
        <v>26</v>
      </c>
      <c r="AE23" s="18" t="s">
        <v>26</v>
      </c>
    </row>
    <row r="24" spans="1:31" x14ac:dyDescent="0.25">
      <c r="B24" s="13" t="s">
        <v>12</v>
      </c>
      <c r="C24" t="s">
        <v>31</v>
      </c>
      <c r="D24" s="16">
        <v>0.37</v>
      </c>
      <c r="E24" s="16">
        <v>589.51</v>
      </c>
      <c r="F24">
        <f t="shared" si="0"/>
        <v>0.58950999999999998</v>
      </c>
      <c r="G24" s="15">
        <f t="shared" si="1"/>
        <v>0.62763990432732275</v>
      </c>
      <c r="H24" s="13" t="s">
        <v>15</v>
      </c>
      <c r="I24" t="s">
        <v>31</v>
      </c>
      <c r="J24" s="16">
        <v>2.08</v>
      </c>
      <c r="K24" s="16">
        <v>3930.07</v>
      </c>
      <c r="L24">
        <f t="shared" si="2"/>
        <v>3.9300700000000002</v>
      </c>
      <c r="M24" s="15">
        <f t="shared" si="10"/>
        <v>0.52925265962183876</v>
      </c>
      <c r="N24" s="13" t="s">
        <v>17</v>
      </c>
      <c r="O24" t="s">
        <v>31</v>
      </c>
      <c r="P24" s="16">
        <v>1.7</v>
      </c>
      <c r="Q24" s="16">
        <v>2161.54</v>
      </c>
      <c r="R24">
        <f t="shared" si="4"/>
        <v>2.16154</v>
      </c>
      <c r="S24" s="15">
        <f t="shared" si="11"/>
        <v>0.7864763085577875</v>
      </c>
      <c r="T24" s="13" t="s">
        <v>19</v>
      </c>
      <c r="U24" t="s">
        <v>31</v>
      </c>
      <c r="V24" s="16">
        <v>0.77</v>
      </c>
      <c r="W24" s="16">
        <v>1375.52</v>
      </c>
      <c r="X24">
        <f t="shared" si="6"/>
        <v>1.3755200000000001</v>
      </c>
      <c r="Y24" s="15">
        <f t="shared" si="12"/>
        <v>0.55978829824357335</v>
      </c>
      <c r="Z24" s="13" t="s">
        <v>21</v>
      </c>
      <c r="AA24" t="s">
        <v>31</v>
      </c>
      <c r="AB24" s="16">
        <v>0.18</v>
      </c>
      <c r="AC24" s="16">
        <v>589.51</v>
      </c>
      <c r="AD24">
        <f t="shared" si="8"/>
        <v>0.58950999999999998</v>
      </c>
      <c r="AE24" s="15">
        <f t="shared" si="13"/>
        <v>0.30533833183491377</v>
      </c>
    </row>
    <row r="25" spans="1:31" x14ac:dyDescent="0.25">
      <c r="B25" s="19" t="s">
        <v>12</v>
      </c>
      <c r="C25" s="20" t="s">
        <v>31</v>
      </c>
      <c r="D25" s="21">
        <v>2.16</v>
      </c>
      <c r="E25" s="21">
        <v>3733.57</v>
      </c>
      <c r="F25" s="20">
        <f t="shared" si="0"/>
        <v>3.7335700000000003</v>
      </c>
      <c r="G25" s="22">
        <f t="shared" si="1"/>
        <v>0.57853475360044138</v>
      </c>
      <c r="H25" s="19" t="s">
        <v>15</v>
      </c>
      <c r="I25" s="20" t="s">
        <v>31</v>
      </c>
      <c r="J25" s="21">
        <v>2.19</v>
      </c>
      <c r="K25" s="21">
        <v>3733.57</v>
      </c>
      <c r="L25" s="20">
        <f t="shared" si="2"/>
        <v>3.7335700000000003</v>
      </c>
      <c r="M25" s="22">
        <f t="shared" si="10"/>
        <v>0.58656995851155858</v>
      </c>
      <c r="N25" s="19" t="s">
        <v>17</v>
      </c>
      <c r="O25" s="20" t="s">
        <v>31</v>
      </c>
      <c r="P25" s="21">
        <v>2.73</v>
      </c>
      <c r="Q25" s="21">
        <v>2947.55</v>
      </c>
      <c r="R25" s="20">
        <f t="shared" si="4"/>
        <v>2.9475500000000001</v>
      </c>
      <c r="S25" s="22">
        <f t="shared" si="11"/>
        <v>0.92619293989923834</v>
      </c>
      <c r="T25" s="19" t="s">
        <v>19</v>
      </c>
      <c r="U25" s="20" t="s">
        <v>31</v>
      </c>
      <c r="V25" s="23" t="s">
        <v>26</v>
      </c>
      <c r="W25" s="23" t="s">
        <v>26</v>
      </c>
      <c r="X25" s="23" t="s">
        <v>26</v>
      </c>
      <c r="Y25" s="24" t="s">
        <v>26</v>
      </c>
      <c r="Z25" s="19" t="s">
        <v>21</v>
      </c>
      <c r="AA25" s="20" t="s">
        <v>31</v>
      </c>
      <c r="AB25" s="21">
        <v>0.19</v>
      </c>
      <c r="AC25" s="21">
        <v>393.01</v>
      </c>
      <c r="AD25" s="20">
        <f t="shared" si="8"/>
        <v>0.39300999999999997</v>
      </c>
      <c r="AE25" s="22">
        <f t="shared" si="13"/>
        <v>0.48344825831403787</v>
      </c>
    </row>
    <row r="26" spans="1:31" x14ac:dyDescent="0.25">
      <c r="A26" t="s">
        <v>34</v>
      </c>
      <c r="B26" s="9" t="s">
        <v>12</v>
      </c>
      <c r="C26" s="10" t="s">
        <v>13</v>
      </c>
      <c r="D26" s="26">
        <v>1.45</v>
      </c>
      <c r="E26" s="26">
        <v>2358.04</v>
      </c>
      <c r="F26" s="10">
        <f>E26/1000</f>
        <v>2.3580399999999999</v>
      </c>
      <c r="G26" s="12">
        <f>D26/F26</f>
        <v>0.61491747383420126</v>
      </c>
      <c r="H26" s="9" t="s">
        <v>15</v>
      </c>
      <c r="I26" s="10" t="s">
        <v>13</v>
      </c>
      <c r="J26" s="26">
        <v>1.72</v>
      </c>
      <c r="K26" s="26">
        <v>2751.05</v>
      </c>
      <c r="L26" s="10">
        <f>K26/1000</f>
        <v>2.7510500000000002</v>
      </c>
      <c r="M26" s="12">
        <f>J26/L26</f>
        <v>0.62521582668435682</v>
      </c>
      <c r="N26" s="9" t="s">
        <v>17</v>
      </c>
      <c r="O26" s="10" t="s">
        <v>13</v>
      </c>
      <c r="P26" s="11">
        <v>0.73</v>
      </c>
      <c r="Q26" s="11">
        <v>1572.03</v>
      </c>
      <c r="R26" s="10">
        <f>Q26/1000</f>
        <v>1.57203</v>
      </c>
      <c r="S26" s="12">
        <f>P26/R26</f>
        <v>0.46436772835124007</v>
      </c>
      <c r="T26" s="9" t="s">
        <v>19</v>
      </c>
      <c r="U26" s="10" t="s">
        <v>13</v>
      </c>
      <c r="V26" s="11" t="s">
        <v>26</v>
      </c>
      <c r="W26" s="11" t="s">
        <v>26</v>
      </c>
      <c r="X26" s="11" t="s">
        <v>26</v>
      </c>
      <c r="Y26" s="25" t="s">
        <v>26</v>
      </c>
      <c r="Z26" s="9" t="s">
        <v>21</v>
      </c>
      <c r="AA26" s="10" t="s">
        <v>13</v>
      </c>
      <c r="AB26" s="26">
        <v>0.31</v>
      </c>
      <c r="AC26" s="26">
        <v>786.01</v>
      </c>
      <c r="AD26" s="10">
        <f>AC26/1000</f>
        <v>0.78600999999999999</v>
      </c>
      <c r="AE26" s="12">
        <f>AB26/AD26</f>
        <v>0.3943970178496457</v>
      </c>
    </row>
    <row r="27" spans="1:31" x14ac:dyDescent="0.25">
      <c r="B27" s="13" t="s">
        <v>12</v>
      </c>
      <c r="C27" t="s">
        <v>13</v>
      </c>
      <c r="D27" s="16">
        <v>2.94</v>
      </c>
      <c r="E27" s="16">
        <v>4519.58</v>
      </c>
      <c r="F27">
        <f t="shared" ref="F27:F49" si="14">E27/1000</f>
        <v>4.5195799999999995</v>
      </c>
      <c r="G27" s="15">
        <f t="shared" ref="G27:G49" si="15">D27/F27</f>
        <v>0.65050292283796285</v>
      </c>
      <c r="H27" s="13" t="s">
        <v>15</v>
      </c>
      <c r="I27" t="s">
        <v>13</v>
      </c>
      <c r="J27" s="14">
        <v>2.58</v>
      </c>
      <c r="K27" s="14">
        <v>3552.06</v>
      </c>
      <c r="L27">
        <f t="shared" ref="L27:L49" si="16">K27/1000</f>
        <v>3.55206</v>
      </c>
      <c r="M27" s="15">
        <f t="shared" ref="M27:M37" si="17">J27/L27</f>
        <v>0.72633908211009957</v>
      </c>
      <c r="N27" s="13" t="s">
        <v>17</v>
      </c>
      <c r="O27" t="s">
        <v>13</v>
      </c>
      <c r="P27" s="16">
        <v>1.23</v>
      </c>
      <c r="Q27" s="16">
        <v>1768.53</v>
      </c>
      <c r="R27">
        <f t="shared" ref="R27:R49" si="18">Q27/1000</f>
        <v>1.7685299999999999</v>
      </c>
      <c r="S27" s="15">
        <f t="shared" ref="S27:S37" si="19">P27/R27</f>
        <v>0.6954928669573035</v>
      </c>
      <c r="T27" s="13" t="s">
        <v>19</v>
      </c>
      <c r="U27" t="s">
        <v>13</v>
      </c>
      <c r="V27" s="16">
        <v>0.56999999999999995</v>
      </c>
      <c r="W27" s="16">
        <v>1768.53</v>
      </c>
      <c r="X27">
        <f t="shared" ref="X27:X49" si="20">W27/1000</f>
        <v>1.7685299999999999</v>
      </c>
      <c r="Y27" s="15">
        <f t="shared" ref="Y27:Y34" si="21">V27/X27</f>
        <v>0.32230157249240893</v>
      </c>
      <c r="Z27" s="13" t="s">
        <v>21</v>
      </c>
      <c r="AA27" t="s">
        <v>13</v>
      </c>
      <c r="AB27" s="16">
        <v>0.28999999999999998</v>
      </c>
      <c r="AC27" s="16">
        <v>786.01</v>
      </c>
      <c r="AD27">
        <f t="shared" ref="AD27:AD45" si="22">AC27/1000</f>
        <v>0.78600999999999999</v>
      </c>
      <c r="AE27" s="15">
        <f t="shared" ref="AE27:AE37" si="23">AB27/AD27</f>
        <v>0.3689520489561201</v>
      </c>
    </row>
    <row r="28" spans="1:31" x14ac:dyDescent="0.25">
      <c r="B28" s="13" t="s">
        <v>12</v>
      </c>
      <c r="C28" t="s">
        <v>13</v>
      </c>
      <c r="D28" s="16">
        <v>0.54</v>
      </c>
      <c r="E28" s="16">
        <v>1375.52</v>
      </c>
      <c r="F28">
        <f t="shared" si="14"/>
        <v>1.3755200000000001</v>
      </c>
      <c r="G28" s="15">
        <f t="shared" si="15"/>
        <v>0.39257880656042804</v>
      </c>
      <c r="H28" s="13" t="s">
        <v>15</v>
      </c>
      <c r="I28" t="s">
        <v>13</v>
      </c>
      <c r="J28" s="16">
        <v>0.65</v>
      </c>
      <c r="K28" s="16">
        <v>1375.52</v>
      </c>
      <c r="L28">
        <f t="shared" si="16"/>
        <v>1.3755200000000001</v>
      </c>
      <c r="M28" s="15">
        <f t="shared" si="17"/>
        <v>0.47254856345236712</v>
      </c>
      <c r="N28" s="13" t="s">
        <v>17</v>
      </c>
      <c r="O28" t="s">
        <v>13</v>
      </c>
      <c r="P28" s="14">
        <v>0.75</v>
      </c>
      <c r="Q28" s="14">
        <v>4897.59</v>
      </c>
      <c r="R28">
        <f t="shared" si="18"/>
        <v>4.8975900000000001</v>
      </c>
      <c r="S28" s="15">
        <f t="shared" si="19"/>
        <v>0.15313654266690352</v>
      </c>
      <c r="T28" s="13" t="s">
        <v>19</v>
      </c>
      <c r="U28" t="s">
        <v>13</v>
      </c>
      <c r="V28" s="14">
        <v>0.47</v>
      </c>
      <c r="W28" s="14">
        <v>3891.07</v>
      </c>
      <c r="X28">
        <f t="shared" si="20"/>
        <v>3.89107</v>
      </c>
      <c r="Y28" s="15">
        <f t="shared" si="21"/>
        <v>0.12078939726090766</v>
      </c>
      <c r="Z28" s="13" t="s">
        <v>21</v>
      </c>
      <c r="AA28" t="s">
        <v>13</v>
      </c>
      <c r="AB28" s="14" t="s">
        <v>26</v>
      </c>
      <c r="AC28" s="14" t="s">
        <v>26</v>
      </c>
      <c r="AD28" s="14" t="s">
        <v>26</v>
      </c>
      <c r="AE28" s="18" t="s">
        <v>26</v>
      </c>
    </row>
    <row r="29" spans="1:31" x14ac:dyDescent="0.25">
      <c r="B29" s="13" t="s">
        <v>12</v>
      </c>
      <c r="C29" t="s">
        <v>13</v>
      </c>
      <c r="D29" s="16">
        <v>1.77</v>
      </c>
      <c r="E29" s="16">
        <v>2947.55</v>
      </c>
      <c r="F29">
        <f t="shared" si="14"/>
        <v>2.9475500000000001</v>
      </c>
      <c r="G29" s="15">
        <f t="shared" si="15"/>
        <v>0.60049871927533038</v>
      </c>
      <c r="H29" s="13" t="s">
        <v>15</v>
      </c>
      <c r="I29" t="s">
        <v>13</v>
      </c>
      <c r="J29" s="14">
        <v>1.39</v>
      </c>
      <c r="K29" s="14">
        <v>2947.55</v>
      </c>
      <c r="L29">
        <f t="shared" si="16"/>
        <v>2.9475500000000001</v>
      </c>
      <c r="M29" s="15">
        <f t="shared" si="17"/>
        <v>0.47157809027836672</v>
      </c>
      <c r="N29" s="13" t="s">
        <v>17</v>
      </c>
      <c r="O29" t="s">
        <v>13</v>
      </c>
      <c r="P29" s="16">
        <v>1.36</v>
      </c>
      <c r="Q29" s="16">
        <v>2947.55</v>
      </c>
      <c r="R29">
        <f t="shared" si="18"/>
        <v>2.9475500000000001</v>
      </c>
      <c r="S29" s="15">
        <f t="shared" si="19"/>
        <v>0.46140014588386968</v>
      </c>
      <c r="T29" s="13" t="s">
        <v>19</v>
      </c>
      <c r="U29" t="s">
        <v>13</v>
      </c>
      <c r="V29" s="16">
        <v>0.95</v>
      </c>
      <c r="W29" s="16">
        <v>2751.05</v>
      </c>
      <c r="X29">
        <f t="shared" si="20"/>
        <v>2.7510500000000002</v>
      </c>
      <c r="Y29" s="15">
        <f t="shared" si="21"/>
        <v>0.34532269497101103</v>
      </c>
      <c r="Z29" s="13" t="s">
        <v>21</v>
      </c>
      <c r="AA29" t="s">
        <v>13</v>
      </c>
      <c r="AB29" s="14">
        <v>2</v>
      </c>
      <c r="AC29" s="14">
        <v>2358.04</v>
      </c>
      <c r="AD29">
        <f t="shared" si="22"/>
        <v>2.3580399999999999</v>
      </c>
      <c r="AE29" s="15">
        <f t="shared" si="23"/>
        <v>0.84816203287476044</v>
      </c>
    </row>
    <row r="30" spans="1:31" x14ac:dyDescent="0.25">
      <c r="B30" s="13" t="s">
        <v>12</v>
      </c>
      <c r="C30" t="s">
        <v>13</v>
      </c>
      <c r="D30" s="16">
        <v>2.87</v>
      </c>
      <c r="E30" s="16">
        <v>5109.09</v>
      </c>
      <c r="F30">
        <f t="shared" si="14"/>
        <v>5.1090900000000001</v>
      </c>
      <c r="G30" s="15">
        <f t="shared" si="15"/>
        <v>0.56174387219641853</v>
      </c>
      <c r="H30" s="13" t="s">
        <v>15</v>
      </c>
      <c r="I30" t="s">
        <v>13</v>
      </c>
      <c r="J30" s="16">
        <v>1.04</v>
      </c>
      <c r="K30" s="16">
        <v>2161.54</v>
      </c>
      <c r="L30">
        <f t="shared" si="16"/>
        <v>2.16154</v>
      </c>
      <c r="M30" s="15">
        <f t="shared" si="17"/>
        <v>0.48113844758829355</v>
      </c>
      <c r="N30" s="13" t="s">
        <v>17</v>
      </c>
      <c r="O30" t="s">
        <v>13</v>
      </c>
      <c r="P30" s="14">
        <v>1.33</v>
      </c>
      <c r="Q30" s="14">
        <v>2947.55</v>
      </c>
      <c r="R30">
        <f t="shared" si="18"/>
        <v>2.9475500000000001</v>
      </c>
      <c r="S30" s="15">
        <f t="shared" si="19"/>
        <v>0.45122220148937253</v>
      </c>
      <c r="T30" s="13" t="s">
        <v>19</v>
      </c>
      <c r="U30" t="s">
        <v>13</v>
      </c>
      <c r="V30" s="16">
        <v>0.56000000000000005</v>
      </c>
      <c r="W30" s="16">
        <v>1375.52</v>
      </c>
      <c r="X30">
        <f t="shared" si="20"/>
        <v>1.3755200000000001</v>
      </c>
      <c r="Y30" s="15">
        <f t="shared" si="21"/>
        <v>0.40711876235896244</v>
      </c>
      <c r="Z30" s="13" t="s">
        <v>21</v>
      </c>
      <c r="AA30" t="s">
        <v>13</v>
      </c>
      <c r="AB30" s="14">
        <v>0.13</v>
      </c>
      <c r="AC30" s="14">
        <v>982.52</v>
      </c>
      <c r="AD30">
        <f t="shared" si="22"/>
        <v>0.98251999999999995</v>
      </c>
      <c r="AE30" s="15">
        <f t="shared" si="23"/>
        <v>0.13231282823759313</v>
      </c>
    </row>
    <row r="31" spans="1:31" x14ac:dyDescent="0.25">
      <c r="B31" s="13" t="s">
        <v>12</v>
      </c>
      <c r="C31" t="s">
        <v>13</v>
      </c>
      <c r="D31" s="14">
        <v>1.58</v>
      </c>
      <c r="E31" s="14">
        <v>2744.05</v>
      </c>
      <c r="F31">
        <f t="shared" si="14"/>
        <v>2.7440500000000001</v>
      </c>
      <c r="G31" s="15">
        <f t="shared" si="15"/>
        <v>0.5757912574479328</v>
      </c>
      <c r="H31" s="13" t="s">
        <v>15</v>
      </c>
      <c r="I31" t="s">
        <v>13</v>
      </c>
      <c r="J31" s="16">
        <v>1.67</v>
      </c>
      <c r="K31" s="16">
        <v>4716.08</v>
      </c>
      <c r="L31">
        <f t="shared" si="16"/>
        <v>4.7160799999999998</v>
      </c>
      <c r="M31" s="15">
        <f t="shared" si="17"/>
        <v>0.35410764872521244</v>
      </c>
      <c r="N31" s="13" t="s">
        <v>17</v>
      </c>
      <c r="O31" t="s">
        <v>13</v>
      </c>
      <c r="P31" s="16">
        <v>1.33</v>
      </c>
      <c r="Q31" s="16">
        <v>3733.57</v>
      </c>
      <c r="R31">
        <f t="shared" si="18"/>
        <v>3.7335700000000003</v>
      </c>
      <c r="S31" s="15">
        <f t="shared" si="19"/>
        <v>0.3562274177261977</v>
      </c>
      <c r="T31" s="13" t="s">
        <v>19</v>
      </c>
      <c r="U31" t="s">
        <v>13</v>
      </c>
      <c r="V31" s="14" t="s">
        <v>26</v>
      </c>
      <c r="W31" s="14" t="s">
        <v>26</v>
      </c>
      <c r="X31" s="14" t="s">
        <v>26</v>
      </c>
      <c r="Y31" s="18" t="s">
        <v>26</v>
      </c>
      <c r="Z31" s="13" t="s">
        <v>21</v>
      </c>
      <c r="AA31" t="s">
        <v>13</v>
      </c>
      <c r="AB31" s="14">
        <v>0.5</v>
      </c>
      <c r="AC31" s="14">
        <v>1375.52</v>
      </c>
      <c r="AD31">
        <f t="shared" si="22"/>
        <v>1.3755200000000001</v>
      </c>
      <c r="AE31" s="15">
        <f t="shared" si="23"/>
        <v>0.3634988949633593</v>
      </c>
    </row>
    <row r="32" spans="1:31" x14ac:dyDescent="0.25">
      <c r="B32" s="13" t="s">
        <v>12</v>
      </c>
      <c r="C32" t="s">
        <v>13</v>
      </c>
      <c r="D32" s="16">
        <v>0.38</v>
      </c>
      <c r="E32" s="16">
        <v>982.52</v>
      </c>
      <c r="F32">
        <f t="shared" si="14"/>
        <v>0.98251999999999995</v>
      </c>
      <c r="G32" s="15">
        <f t="shared" si="15"/>
        <v>0.38676057484834919</v>
      </c>
      <c r="H32" s="13" t="s">
        <v>15</v>
      </c>
      <c r="I32" t="s">
        <v>13</v>
      </c>
      <c r="J32" s="14">
        <v>0.44</v>
      </c>
      <c r="K32" s="14">
        <v>1387.52</v>
      </c>
      <c r="L32">
        <f t="shared" si="16"/>
        <v>1.3875200000000001</v>
      </c>
      <c r="M32" s="15">
        <f t="shared" si="17"/>
        <v>0.31711254612546125</v>
      </c>
      <c r="N32" s="13" t="s">
        <v>17</v>
      </c>
      <c r="O32" t="s">
        <v>13</v>
      </c>
      <c r="P32" s="16">
        <v>0.45</v>
      </c>
      <c r="Q32" s="16">
        <v>1179.02</v>
      </c>
      <c r="R32">
        <f t="shared" si="18"/>
        <v>1.17902</v>
      </c>
      <c r="S32" s="15">
        <f t="shared" si="19"/>
        <v>0.38167291479364218</v>
      </c>
      <c r="T32" s="13" t="s">
        <v>19</v>
      </c>
      <c r="U32" t="s">
        <v>13</v>
      </c>
      <c r="V32" s="14" t="s">
        <v>26</v>
      </c>
      <c r="W32" s="14" t="s">
        <v>26</v>
      </c>
      <c r="X32" s="14" t="s">
        <v>26</v>
      </c>
      <c r="Y32" s="18" t="s">
        <v>26</v>
      </c>
      <c r="Z32" s="13" t="s">
        <v>21</v>
      </c>
      <c r="AA32" t="s">
        <v>13</v>
      </c>
      <c r="AB32" s="14">
        <v>0.5</v>
      </c>
      <c r="AC32" s="14">
        <v>1375.52</v>
      </c>
      <c r="AD32">
        <f t="shared" si="22"/>
        <v>1.3755200000000001</v>
      </c>
      <c r="AE32" s="15">
        <f t="shared" si="23"/>
        <v>0.3634988949633593</v>
      </c>
    </row>
    <row r="33" spans="2:31" x14ac:dyDescent="0.25">
      <c r="B33" s="13" t="s">
        <v>12</v>
      </c>
      <c r="C33" t="s">
        <v>13</v>
      </c>
      <c r="D33" s="16">
        <v>1.38</v>
      </c>
      <c r="E33" s="16">
        <v>4126.57</v>
      </c>
      <c r="F33">
        <f t="shared" si="14"/>
        <v>4.1265700000000001</v>
      </c>
      <c r="G33" s="15">
        <f t="shared" si="15"/>
        <v>0.33441817296204834</v>
      </c>
      <c r="H33" s="13" t="s">
        <v>15</v>
      </c>
      <c r="I33" t="s">
        <v>13</v>
      </c>
      <c r="J33" s="16">
        <v>2.16</v>
      </c>
      <c r="K33" s="16">
        <v>4126.57</v>
      </c>
      <c r="L33">
        <f t="shared" si="16"/>
        <v>4.1265700000000001</v>
      </c>
      <c r="M33" s="15">
        <f t="shared" si="17"/>
        <v>0.52343714028842359</v>
      </c>
      <c r="N33" s="13" t="s">
        <v>17</v>
      </c>
      <c r="O33" t="s">
        <v>13</v>
      </c>
      <c r="P33" s="16">
        <v>0.83</v>
      </c>
      <c r="Q33" s="16">
        <v>1572.03</v>
      </c>
      <c r="R33">
        <f t="shared" si="18"/>
        <v>1.57203</v>
      </c>
      <c r="S33" s="15">
        <f t="shared" si="19"/>
        <v>0.52797974593360175</v>
      </c>
      <c r="T33" s="13" t="s">
        <v>19</v>
      </c>
      <c r="U33" t="s">
        <v>13</v>
      </c>
      <c r="V33" s="16">
        <v>0.66</v>
      </c>
      <c r="W33" s="16">
        <v>1768.53</v>
      </c>
      <c r="X33">
        <f t="shared" si="20"/>
        <v>1.7685299999999999</v>
      </c>
      <c r="Y33" s="15">
        <f t="shared" si="21"/>
        <v>0.37319129446489463</v>
      </c>
      <c r="Z33" s="13" t="s">
        <v>21</v>
      </c>
      <c r="AA33" t="s">
        <v>13</v>
      </c>
      <c r="AB33" s="14">
        <v>0.65</v>
      </c>
      <c r="AC33" s="14">
        <v>1572.03</v>
      </c>
      <c r="AD33">
        <f t="shared" si="22"/>
        <v>1.57203</v>
      </c>
      <c r="AE33" s="15">
        <f t="shared" si="23"/>
        <v>0.41347811428535081</v>
      </c>
    </row>
    <row r="34" spans="2:31" x14ac:dyDescent="0.25">
      <c r="B34" s="13" t="s">
        <v>12</v>
      </c>
      <c r="C34" t="s">
        <v>13</v>
      </c>
      <c r="D34" s="16">
        <v>1.74</v>
      </c>
      <c r="E34" s="16">
        <v>3537.06</v>
      </c>
      <c r="F34">
        <f t="shared" si="14"/>
        <v>3.5370599999999999</v>
      </c>
      <c r="G34" s="15">
        <f t="shared" si="15"/>
        <v>0.49193397906736103</v>
      </c>
      <c r="H34" s="13" t="s">
        <v>15</v>
      </c>
      <c r="I34" t="s">
        <v>13</v>
      </c>
      <c r="J34" s="14">
        <v>1.65</v>
      </c>
      <c r="K34" s="14">
        <v>3342.56</v>
      </c>
      <c r="L34">
        <f t="shared" si="16"/>
        <v>3.3425599999999998</v>
      </c>
      <c r="M34" s="15">
        <f t="shared" si="17"/>
        <v>0.4936336221339333</v>
      </c>
      <c r="N34" s="13" t="s">
        <v>17</v>
      </c>
      <c r="O34" t="s">
        <v>13</v>
      </c>
      <c r="P34" s="16">
        <v>1.66</v>
      </c>
      <c r="Q34" s="16">
        <v>2751.05</v>
      </c>
      <c r="R34">
        <f t="shared" si="18"/>
        <v>2.7510500000000002</v>
      </c>
      <c r="S34" s="15">
        <f t="shared" si="19"/>
        <v>0.60340597226513504</v>
      </c>
      <c r="T34" s="13" t="s">
        <v>19</v>
      </c>
      <c r="U34" t="s">
        <v>13</v>
      </c>
      <c r="V34" s="16">
        <v>0.92</v>
      </c>
      <c r="W34" s="16">
        <v>2358.04</v>
      </c>
      <c r="X34">
        <f t="shared" si="20"/>
        <v>2.3580399999999999</v>
      </c>
      <c r="Y34" s="15">
        <f t="shared" si="21"/>
        <v>0.39015453512238979</v>
      </c>
      <c r="Z34" s="13" t="s">
        <v>21</v>
      </c>
      <c r="AA34" t="s">
        <v>13</v>
      </c>
      <c r="AB34" s="14">
        <v>0.63</v>
      </c>
      <c r="AC34" s="14">
        <v>1375.52</v>
      </c>
      <c r="AD34">
        <f t="shared" si="22"/>
        <v>1.3755200000000001</v>
      </c>
      <c r="AE34" s="15">
        <f t="shared" si="23"/>
        <v>0.45800860765383272</v>
      </c>
    </row>
    <row r="35" spans="2:31" x14ac:dyDescent="0.25">
      <c r="B35" s="13" t="s">
        <v>12</v>
      </c>
      <c r="C35" t="s">
        <v>13</v>
      </c>
      <c r="D35" s="16">
        <v>2.13</v>
      </c>
      <c r="E35" s="16">
        <v>2751.05</v>
      </c>
      <c r="F35">
        <f t="shared" si="14"/>
        <v>2.7510500000000002</v>
      </c>
      <c r="G35" s="15">
        <f t="shared" si="15"/>
        <v>0.77424983188237206</v>
      </c>
      <c r="H35" s="13" t="s">
        <v>15</v>
      </c>
      <c r="I35" t="s">
        <v>13</v>
      </c>
      <c r="J35" s="16">
        <v>2.16</v>
      </c>
      <c r="K35" s="16">
        <v>3537.06</v>
      </c>
      <c r="L35">
        <f t="shared" si="16"/>
        <v>3.5370599999999999</v>
      </c>
      <c r="M35" s="15">
        <f t="shared" si="17"/>
        <v>0.61067666366982754</v>
      </c>
      <c r="N35" s="13" t="s">
        <v>17</v>
      </c>
      <c r="O35" t="s">
        <v>13</v>
      </c>
      <c r="P35" s="16">
        <v>2.17</v>
      </c>
      <c r="Q35" s="16">
        <v>2554.5500000000002</v>
      </c>
      <c r="R35">
        <f t="shared" si="18"/>
        <v>2.5545500000000003</v>
      </c>
      <c r="S35" s="15">
        <f t="shared" si="19"/>
        <v>0.84946468066782788</v>
      </c>
      <c r="T35" s="13" t="s">
        <v>19</v>
      </c>
      <c r="U35" t="s">
        <v>13</v>
      </c>
      <c r="V35" s="14" t="s">
        <v>26</v>
      </c>
      <c r="W35" s="14" t="s">
        <v>26</v>
      </c>
      <c r="X35" s="14" t="s">
        <v>26</v>
      </c>
      <c r="Y35" s="18" t="s">
        <v>26</v>
      </c>
      <c r="Z35" s="13" t="s">
        <v>21</v>
      </c>
      <c r="AA35" t="s">
        <v>13</v>
      </c>
      <c r="AB35" s="14" t="s">
        <v>26</v>
      </c>
      <c r="AC35" s="14" t="s">
        <v>26</v>
      </c>
      <c r="AD35" s="14" t="s">
        <v>26</v>
      </c>
      <c r="AE35" s="18" t="s">
        <v>26</v>
      </c>
    </row>
    <row r="36" spans="2:31" x14ac:dyDescent="0.25">
      <c r="B36" s="13" t="s">
        <v>12</v>
      </c>
      <c r="C36" t="s">
        <v>13</v>
      </c>
      <c r="D36" s="14" t="s">
        <v>26</v>
      </c>
      <c r="E36" s="14" t="s">
        <v>26</v>
      </c>
      <c r="F36" s="14" t="s">
        <v>26</v>
      </c>
      <c r="G36" s="18" t="s">
        <v>26</v>
      </c>
      <c r="H36" s="13" t="s">
        <v>15</v>
      </c>
      <c r="I36" t="s">
        <v>13</v>
      </c>
      <c r="J36" s="14">
        <v>2.25</v>
      </c>
      <c r="K36" s="14">
        <v>4718.08</v>
      </c>
      <c r="L36">
        <f t="shared" si="16"/>
        <v>4.7180799999999996</v>
      </c>
      <c r="M36" s="15">
        <f t="shared" si="17"/>
        <v>0.47688890396093331</v>
      </c>
      <c r="N36" s="13" t="s">
        <v>17</v>
      </c>
      <c r="O36" t="s">
        <v>13</v>
      </c>
      <c r="P36" s="16">
        <v>2.44</v>
      </c>
      <c r="Q36" s="16">
        <v>2751.05</v>
      </c>
      <c r="R36">
        <f t="shared" si="18"/>
        <v>2.7510500000000002</v>
      </c>
      <c r="S36" s="15">
        <f t="shared" si="19"/>
        <v>0.88693407971501781</v>
      </c>
      <c r="T36" s="13" t="s">
        <v>19</v>
      </c>
      <c r="U36" t="s">
        <v>13</v>
      </c>
      <c r="V36" s="14" t="s">
        <v>26</v>
      </c>
      <c r="W36" s="14" t="s">
        <v>26</v>
      </c>
      <c r="X36" s="14" t="s">
        <v>26</v>
      </c>
      <c r="Y36" s="18" t="s">
        <v>26</v>
      </c>
      <c r="Z36" s="13" t="s">
        <v>21</v>
      </c>
      <c r="AA36" t="s">
        <v>13</v>
      </c>
      <c r="AB36" s="16">
        <v>1.1000000000000001</v>
      </c>
      <c r="AC36" s="16">
        <v>1375.52</v>
      </c>
      <c r="AD36">
        <f t="shared" si="22"/>
        <v>1.3755200000000001</v>
      </c>
      <c r="AE36" s="15">
        <f t="shared" si="23"/>
        <v>0.79969756891939048</v>
      </c>
    </row>
    <row r="37" spans="2:31" x14ac:dyDescent="0.25">
      <c r="B37" s="13" t="s">
        <v>12</v>
      </c>
      <c r="C37" t="s">
        <v>13</v>
      </c>
      <c r="D37" s="16">
        <v>1.76</v>
      </c>
      <c r="E37" s="16">
        <v>4126.57</v>
      </c>
      <c r="F37">
        <f t="shared" si="14"/>
        <v>4.1265700000000001</v>
      </c>
      <c r="G37" s="15">
        <f t="shared" si="15"/>
        <v>0.42650433653130809</v>
      </c>
      <c r="H37" s="13" t="s">
        <v>15</v>
      </c>
      <c r="I37" t="s">
        <v>13</v>
      </c>
      <c r="J37" s="16">
        <v>2.0299999999999998</v>
      </c>
      <c r="K37" s="16">
        <v>4126.57</v>
      </c>
      <c r="L37">
        <f t="shared" si="16"/>
        <v>4.1265700000000001</v>
      </c>
      <c r="M37" s="15">
        <f t="shared" si="17"/>
        <v>0.49193397906736097</v>
      </c>
      <c r="N37" s="13" t="s">
        <v>17</v>
      </c>
      <c r="O37" t="s">
        <v>13</v>
      </c>
      <c r="P37" s="16">
        <v>0.75</v>
      </c>
      <c r="Q37" s="16">
        <v>982.52</v>
      </c>
      <c r="R37">
        <f t="shared" si="18"/>
        <v>0.98251999999999995</v>
      </c>
      <c r="S37" s="15">
        <f t="shared" si="19"/>
        <v>0.76334323983226804</v>
      </c>
      <c r="T37" s="13" t="s">
        <v>19</v>
      </c>
      <c r="U37" t="s">
        <v>13</v>
      </c>
      <c r="V37" s="14" t="s">
        <v>26</v>
      </c>
      <c r="W37" s="14" t="s">
        <v>26</v>
      </c>
      <c r="X37" s="14" t="s">
        <v>26</v>
      </c>
      <c r="Y37" s="18" t="s">
        <v>26</v>
      </c>
      <c r="Z37" s="13" t="s">
        <v>21</v>
      </c>
      <c r="AA37" t="s">
        <v>13</v>
      </c>
      <c r="AB37" s="16">
        <v>0.83</v>
      </c>
      <c r="AC37" s="16">
        <v>1179.02</v>
      </c>
      <c r="AD37">
        <f t="shared" si="22"/>
        <v>1.17902</v>
      </c>
      <c r="AE37" s="15">
        <f t="shared" si="23"/>
        <v>0.70397448728605116</v>
      </c>
    </row>
    <row r="38" spans="2:31" x14ac:dyDescent="0.25">
      <c r="B38" s="13" t="s">
        <v>12</v>
      </c>
      <c r="C38" t="s">
        <v>31</v>
      </c>
      <c r="D38" s="14">
        <v>3.12</v>
      </c>
      <c r="E38" s="14">
        <v>4519.58</v>
      </c>
      <c r="F38">
        <f t="shared" si="14"/>
        <v>4.5195799999999995</v>
      </c>
      <c r="G38" s="15">
        <f t="shared" si="15"/>
        <v>0.69032963239947087</v>
      </c>
      <c r="H38" s="13" t="s">
        <v>15</v>
      </c>
      <c r="I38" t="s">
        <v>31</v>
      </c>
      <c r="J38" s="16">
        <v>0.59</v>
      </c>
      <c r="K38" s="16">
        <v>2161.54</v>
      </c>
      <c r="L38">
        <f t="shared" si="16"/>
        <v>2.16154</v>
      </c>
      <c r="M38" s="15">
        <f t="shared" ref="M38:M49" si="24">J38/L38</f>
        <v>0.27295354238182035</v>
      </c>
      <c r="N38" s="13" t="s">
        <v>17</v>
      </c>
      <c r="O38" t="s">
        <v>31</v>
      </c>
      <c r="P38" s="14">
        <v>1.51</v>
      </c>
      <c r="Q38" s="14">
        <v>2358.04</v>
      </c>
      <c r="R38">
        <f t="shared" si="18"/>
        <v>2.3580399999999999</v>
      </c>
      <c r="S38" s="15">
        <f t="shared" ref="S38:S49" si="25">P38/R38</f>
        <v>0.64036233482044413</v>
      </c>
      <c r="T38" s="13" t="s">
        <v>19</v>
      </c>
      <c r="U38" t="s">
        <v>31</v>
      </c>
      <c r="V38" s="16">
        <v>1.43</v>
      </c>
      <c r="W38" s="16">
        <v>3144.06</v>
      </c>
      <c r="X38">
        <f t="shared" si="20"/>
        <v>3.1440600000000001</v>
      </c>
      <c r="Y38" s="15">
        <f t="shared" ref="Y38:Y49" si="26">V38/X38</f>
        <v>0.45482592571388586</v>
      </c>
      <c r="Z38" s="13" t="s">
        <v>21</v>
      </c>
      <c r="AA38" t="s">
        <v>31</v>
      </c>
      <c r="AB38" s="14" t="s">
        <v>26</v>
      </c>
      <c r="AC38" s="14" t="s">
        <v>26</v>
      </c>
      <c r="AD38" s="14" t="s">
        <v>26</v>
      </c>
      <c r="AE38" s="18" t="s">
        <v>26</v>
      </c>
    </row>
    <row r="39" spans="2:31" x14ac:dyDescent="0.25">
      <c r="B39" s="13" t="s">
        <v>12</v>
      </c>
      <c r="C39" t="s">
        <v>31</v>
      </c>
      <c r="D39" s="16">
        <v>2.19</v>
      </c>
      <c r="E39" s="16">
        <v>2751.05</v>
      </c>
      <c r="F39">
        <f t="shared" si="14"/>
        <v>2.7510500000000002</v>
      </c>
      <c r="G39" s="15">
        <f t="shared" si="15"/>
        <v>0.79605968630159385</v>
      </c>
      <c r="H39" s="13" t="s">
        <v>15</v>
      </c>
      <c r="I39" t="s">
        <v>31</v>
      </c>
      <c r="J39" s="14">
        <v>0.99</v>
      </c>
      <c r="K39" s="14">
        <v>1179.02</v>
      </c>
      <c r="L39">
        <f t="shared" si="16"/>
        <v>1.17902</v>
      </c>
      <c r="M39" s="15">
        <f t="shared" si="24"/>
        <v>0.83968041254601278</v>
      </c>
      <c r="N39" s="13" t="s">
        <v>17</v>
      </c>
      <c r="O39" t="s">
        <v>31</v>
      </c>
      <c r="P39" s="16">
        <v>1.63</v>
      </c>
      <c r="Q39" s="16">
        <v>1965.03</v>
      </c>
      <c r="R39">
        <f t="shared" si="18"/>
        <v>1.9650300000000001</v>
      </c>
      <c r="S39" s="15">
        <f t="shared" si="25"/>
        <v>0.82950387525890179</v>
      </c>
      <c r="T39" s="13" t="s">
        <v>19</v>
      </c>
      <c r="U39" t="s">
        <v>31</v>
      </c>
      <c r="V39" s="16">
        <v>0.52</v>
      </c>
      <c r="W39" s="16">
        <v>786.01</v>
      </c>
      <c r="X39">
        <f t="shared" si="20"/>
        <v>0.78600999999999999</v>
      </c>
      <c r="Y39" s="15">
        <f t="shared" si="26"/>
        <v>0.6615691912316638</v>
      </c>
      <c r="Z39" s="13" t="s">
        <v>21</v>
      </c>
      <c r="AA39" t="s">
        <v>31</v>
      </c>
      <c r="AB39" s="14" t="s">
        <v>26</v>
      </c>
      <c r="AC39" s="14" t="s">
        <v>26</v>
      </c>
      <c r="AD39" s="14" t="s">
        <v>26</v>
      </c>
      <c r="AE39" s="18" t="s">
        <v>26</v>
      </c>
    </row>
    <row r="40" spans="2:31" x14ac:dyDescent="0.25">
      <c r="B40" s="13" t="s">
        <v>12</v>
      </c>
      <c r="C40" t="s">
        <v>31</v>
      </c>
      <c r="D40" s="16">
        <v>1.5</v>
      </c>
      <c r="E40" s="16">
        <v>2751.05</v>
      </c>
      <c r="F40">
        <f t="shared" si="14"/>
        <v>2.7510500000000002</v>
      </c>
      <c r="G40" s="15">
        <f t="shared" si="15"/>
        <v>0.54524636048054376</v>
      </c>
      <c r="H40" s="13" t="s">
        <v>15</v>
      </c>
      <c r="I40" t="s">
        <v>31</v>
      </c>
      <c r="J40" s="16">
        <v>0.39</v>
      </c>
      <c r="K40" s="16">
        <v>1179.02</v>
      </c>
      <c r="L40">
        <f t="shared" si="16"/>
        <v>1.17902</v>
      </c>
      <c r="M40" s="15">
        <f t="shared" si="24"/>
        <v>0.33078319282115659</v>
      </c>
      <c r="N40" s="13" t="s">
        <v>17</v>
      </c>
      <c r="O40" t="s">
        <v>31</v>
      </c>
      <c r="P40" s="16">
        <v>0.28999999999999998</v>
      </c>
      <c r="Q40" s="16">
        <v>1572.03</v>
      </c>
      <c r="R40">
        <f t="shared" si="18"/>
        <v>1.57203</v>
      </c>
      <c r="S40" s="15">
        <f t="shared" si="25"/>
        <v>0.1844748509888488</v>
      </c>
      <c r="T40" s="13" t="s">
        <v>19</v>
      </c>
      <c r="U40" t="s">
        <v>31</v>
      </c>
      <c r="V40" s="16">
        <v>0.43</v>
      </c>
      <c r="W40" s="16">
        <v>1375.52</v>
      </c>
      <c r="X40">
        <f t="shared" si="20"/>
        <v>1.3755200000000001</v>
      </c>
      <c r="Y40" s="15">
        <f t="shared" si="26"/>
        <v>0.31260904966848896</v>
      </c>
      <c r="Z40" s="13" t="s">
        <v>21</v>
      </c>
      <c r="AA40" t="s">
        <v>31</v>
      </c>
      <c r="AB40" s="14" t="s">
        <v>26</v>
      </c>
      <c r="AC40" s="14" t="s">
        <v>26</v>
      </c>
      <c r="AD40" s="14" t="s">
        <v>26</v>
      </c>
      <c r="AE40" s="18" t="s">
        <v>26</v>
      </c>
    </row>
    <row r="41" spans="2:31" x14ac:dyDescent="0.25">
      <c r="B41" s="13" t="s">
        <v>12</v>
      </c>
      <c r="C41" t="s">
        <v>31</v>
      </c>
      <c r="D41" s="16">
        <v>2.1</v>
      </c>
      <c r="E41" s="16">
        <v>4126.57</v>
      </c>
      <c r="F41">
        <f t="shared" si="14"/>
        <v>4.1265700000000001</v>
      </c>
      <c r="G41" s="15">
        <f t="shared" si="15"/>
        <v>0.50889721972485624</v>
      </c>
      <c r="H41" s="13" t="s">
        <v>15</v>
      </c>
      <c r="I41" t="s">
        <v>31</v>
      </c>
      <c r="J41" s="14">
        <v>0.91</v>
      </c>
      <c r="K41" s="14">
        <v>1980.03</v>
      </c>
      <c r="L41">
        <f t="shared" si="16"/>
        <v>1.98003</v>
      </c>
      <c r="M41" s="15">
        <f t="shared" si="24"/>
        <v>0.45958899612632137</v>
      </c>
      <c r="N41" s="13" t="s">
        <v>17</v>
      </c>
      <c r="O41" t="s">
        <v>31</v>
      </c>
      <c r="P41" s="16">
        <v>0.34</v>
      </c>
      <c r="Q41" s="16">
        <v>1375.52</v>
      </c>
      <c r="R41">
        <f t="shared" si="18"/>
        <v>1.3755200000000001</v>
      </c>
      <c r="S41" s="15">
        <f t="shared" si="25"/>
        <v>0.24717924857508433</v>
      </c>
      <c r="T41" s="13" t="s">
        <v>19</v>
      </c>
      <c r="U41" t="s">
        <v>31</v>
      </c>
      <c r="V41" s="16">
        <v>0.45</v>
      </c>
      <c r="W41" s="16">
        <v>1375.52</v>
      </c>
      <c r="X41">
        <f t="shared" si="20"/>
        <v>1.3755200000000001</v>
      </c>
      <c r="Y41" s="15">
        <f t="shared" si="26"/>
        <v>0.32714900546702336</v>
      </c>
      <c r="Z41" s="13" t="s">
        <v>21</v>
      </c>
      <c r="AA41" t="s">
        <v>31</v>
      </c>
      <c r="AB41" s="14">
        <v>7.0000000000000007E-2</v>
      </c>
      <c r="AC41" s="14">
        <v>350.01</v>
      </c>
      <c r="AD41">
        <f t="shared" si="22"/>
        <v>0.35000999999999999</v>
      </c>
      <c r="AE41" s="15">
        <f t="shared" ref="AE41:AE45" si="27">AB41/AD41</f>
        <v>0.19999428587754639</v>
      </c>
    </row>
    <row r="42" spans="2:31" x14ac:dyDescent="0.25">
      <c r="B42" s="13" t="s">
        <v>12</v>
      </c>
      <c r="C42" t="s">
        <v>31</v>
      </c>
      <c r="D42" s="16">
        <v>1.25</v>
      </c>
      <c r="E42" s="16">
        <v>3537.06</v>
      </c>
      <c r="F42">
        <f t="shared" si="14"/>
        <v>3.5370599999999999</v>
      </c>
      <c r="G42" s="15">
        <f t="shared" si="15"/>
        <v>0.35340084703115016</v>
      </c>
      <c r="H42" s="13" t="s">
        <v>15</v>
      </c>
      <c r="I42" t="s">
        <v>31</v>
      </c>
      <c r="J42" s="16">
        <v>1.55</v>
      </c>
      <c r="K42" s="16">
        <v>3340.56</v>
      </c>
      <c r="L42">
        <f t="shared" si="16"/>
        <v>3.34056</v>
      </c>
      <c r="M42" s="15">
        <f t="shared" si="24"/>
        <v>0.4639940608760208</v>
      </c>
      <c r="N42" s="13" t="s">
        <v>17</v>
      </c>
      <c r="O42" t="s">
        <v>31</v>
      </c>
      <c r="P42" s="14">
        <v>0.79</v>
      </c>
      <c r="Q42" s="14">
        <v>1965.03</v>
      </c>
      <c r="R42">
        <f t="shared" si="18"/>
        <v>1.9650300000000001</v>
      </c>
      <c r="S42" s="15">
        <f t="shared" si="25"/>
        <v>0.4020294855549279</v>
      </c>
      <c r="T42" s="13" t="s">
        <v>19</v>
      </c>
      <c r="U42" t="s">
        <v>31</v>
      </c>
      <c r="V42" s="16">
        <v>0.61</v>
      </c>
      <c r="W42" s="16">
        <v>1965.03</v>
      </c>
      <c r="X42">
        <f t="shared" si="20"/>
        <v>1.9650300000000001</v>
      </c>
      <c r="Y42" s="15">
        <f t="shared" si="26"/>
        <v>0.31042783061836204</v>
      </c>
      <c r="Z42" s="13" t="s">
        <v>21</v>
      </c>
      <c r="AA42" t="s">
        <v>31</v>
      </c>
      <c r="AB42" s="14" t="s">
        <v>26</v>
      </c>
      <c r="AC42" s="14" t="s">
        <v>26</v>
      </c>
      <c r="AD42" s="14" t="s">
        <v>26</v>
      </c>
      <c r="AE42" s="18" t="s">
        <v>26</v>
      </c>
    </row>
    <row r="43" spans="2:31" x14ac:dyDescent="0.25">
      <c r="B43" s="13" t="s">
        <v>12</v>
      </c>
      <c r="C43" t="s">
        <v>31</v>
      </c>
      <c r="D43" s="14">
        <v>2.09</v>
      </c>
      <c r="E43" s="14">
        <v>4519.58</v>
      </c>
      <c r="F43">
        <f t="shared" si="14"/>
        <v>4.5195799999999995</v>
      </c>
      <c r="G43" s="15">
        <f t="shared" si="15"/>
        <v>0.46243234990861987</v>
      </c>
      <c r="H43" s="13" t="s">
        <v>15</v>
      </c>
      <c r="I43" t="s">
        <v>31</v>
      </c>
      <c r="J43" s="16">
        <v>0.82</v>
      </c>
      <c r="K43" s="16">
        <v>2947.55</v>
      </c>
      <c r="L43">
        <f t="shared" si="16"/>
        <v>2.9475500000000001</v>
      </c>
      <c r="M43" s="15">
        <f t="shared" si="24"/>
        <v>0.2781971467829214</v>
      </c>
      <c r="N43" s="13" t="s">
        <v>17</v>
      </c>
      <c r="O43" t="s">
        <v>31</v>
      </c>
      <c r="P43" s="16">
        <v>0.87</v>
      </c>
      <c r="Q43" s="16">
        <v>1965.03</v>
      </c>
      <c r="R43">
        <f t="shared" si="18"/>
        <v>1.9650300000000001</v>
      </c>
      <c r="S43" s="15">
        <f t="shared" si="25"/>
        <v>0.44274133219340162</v>
      </c>
      <c r="T43" s="13" t="s">
        <v>19</v>
      </c>
      <c r="U43" t="s">
        <v>31</v>
      </c>
      <c r="V43" s="16">
        <v>0.46</v>
      </c>
      <c r="W43" s="16">
        <v>1768.53</v>
      </c>
      <c r="X43">
        <f t="shared" si="20"/>
        <v>1.7685299999999999</v>
      </c>
      <c r="Y43" s="15">
        <f t="shared" si="26"/>
        <v>0.26010302341492653</v>
      </c>
      <c r="Z43" s="13" t="s">
        <v>21</v>
      </c>
      <c r="AA43" t="s">
        <v>31</v>
      </c>
      <c r="AB43" s="14" t="s">
        <v>26</v>
      </c>
      <c r="AC43" s="14" t="s">
        <v>26</v>
      </c>
      <c r="AD43" s="14" t="s">
        <v>26</v>
      </c>
      <c r="AE43" s="18" t="s">
        <v>26</v>
      </c>
    </row>
    <row r="44" spans="2:31" x14ac:dyDescent="0.25">
      <c r="B44" s="13" t="s">
        <v>12</v>
      </c>
      <c r="C44" t="s">
        <v>31</v>
      </c>
      <c r="D44" s="16">
        <v>0.51</v>
      </c>
      <c r="E44" s="16">
        <v>1768.53</v>
      </c>
      <c r="F44">
        <f t="shared" si="14"/>
        <v>1.7685299999999999</v>
      </c>
      <c r="G44" s="15">
        <f t="shared" si="15"/>
        <v>0.28837509117741855</v>
      </c>
      <c r="H44" s="13" t="s">
        <v>15</v>
      </c>
      <c r="I44" t="s">
        <v>31</v>
      </c>
      <c r="J44" s="14">
        <v>0.81</v>
      </c>
      <c r="K44" s="14">
        <v>3792.57</v>
      </c>
      <c r="L44">
        <f t="shared" si="16"/>
        <v>3.79257</v>
      </c>
      <c r="M44" s="15">
        <f t="shared" si="24"/>
        <v>0.21357549102587428</v>
      </c>
      <c r="N44" s="13" t="s">
        <v>17</v>
      </c>
      <c r="O44" t="s">
        <v>31</v>
      </c>
      <c r="P44" s="16">
        <v>0.37</v>
      </c>
      <c r="Q44" s="16">
        <v>2947.55</v>
      </c>
      <c r="R44">
        <f t="shared" si="18"/>
        <v>2.9475500000000001</v>
      </c>
      <c r="S44" s="15">
        <f t="shared" si="25"/>
        <v>0.12552798086546454</v>
      </c>
      <c r="T44" s="13" t="s">
        <v>19</v>
      </c>
      <c r="U44" t="s">
        <v>31</v>
      </c>
      <c r="V44" s="16">
        <v>0.12</v>
      </c>
      <c r="W44" s="16">
        <v>786.01</v>
      </c>
      <c r="X44">
        <f t="shared" si="20"/>
        <v>0.78600999999999999</v>
      </c>
      <c r="Y44" s="15">
        <f t="shared" si="26"/>
        <v>0.15266981336115315</v>
      </c>
      <c r="Z44" s="13" t="s">
        <v>21</v>
      </c>
      <c r="AA44" t="s">
        <v>31</v>
      </c>
      <c r="AB44" s="14" t="s">
        <v>26</v>
      </c>
      <c r="AC44" s="14" t="s">
        <v>26</v>
      </c>
      <c r="AD44" s="14" t="s">
        <v>26</v>
      </c>
      <c r="AE44" s="18" t="s">
        <v>26</v>
      </c>
    </row>
    <row r="45" spans="2:31" x14ac:dyDescent="0.25">
      <c r="B45" s="13" t="s">
        <v>12</v>
      </c>
      <c r="C45" t="s">
        <v>31</v>
      </c>
      <c r="D45" s="16">
        <v>1.3</v>
      </c>
      <c r="E45" s="16">
        <v>4912.59</v>
      </c>
      <c r="F45">
        <f t="shared" si="14"/>
        <v>4.9125899999999998</v>
      </c>
      <c r="G45" s="15">
        <f t="shared" si="15"/>
        <v>0.26462619514349867</v>
      </c>
      <c r="H45" s="13" t="s">
        <v>15</v>
      </c>
      <c r="I45" t="s">
        <v>31</v>
      </c>
      <c r="J45" s="16">
        <v>2.5499999999999998</v>
      </c>
      <c r="K45" s="16">
        <v>5502.1</v>
      </c>
      <c r="L45">
        <f t="shared" si="16"/>
        <v>5.5021000000000004</v>
      </c>
      <c r="M45" s="15">
        <f t="shared" si="24"/>
        <v>0.46345940640846217</v>
      </c>
      <c r="N45" s="13" t="s">
        <v>17</v>
      </c>
      <c r="O45" t="s">
        <v>31</v>
      </c>
      <c r="P45" s="16">
        <v>1.75</v>
      </c>
      <c r="Q45" s="16">
        <v>3144.06</v>
      </c>
      <c r="R45">
        <f t="shared" si="18"/>
        <v>3.1440600000000001</v>
      </c>
      <c r="S45" s="15">
        <f t="shared" si="25"/>
        <v>0.55660515384566456</v>
      </c>
      <c r="T45" s="13" t="s">
        <v>19</v>
      </c>
      <c r="U45" t="s">
        <v>31</v>
      </c>
      <c r="V45" s="16">
        <v>1.06</v>
      </c>
      <c r="W45" s="16">
        <v>2358.04</v>
      </c>
      <c r="X45">
        <f t="shared" si="20"/>
        <v>2.3580399999999999</v>
      </c>
      <c r="Y45" s="15">
        <f t="shared" si="26"/>
        <v>0.44952587742362304</v>
      </c>
      <c r="Z45" s="13" t="s">
        <v>21</v>
      </c>
      <c r="AA45" t="s">
        <v>31</v>
      </c>
      <c r="AB45" s="16">
        <v>0.46</v>
      </c>
      <c r="AC45" s="16">
        <v>786.01</v>
      </c>
      <c r="AD45">
        <f t="shared" si="22"/>
        <v>0.78600999999999999</v>
      </c>
      <c r="AE45" s="15">
        <f t="shared" si="27"/>
        <v>0.58523428455108717</v>
      </c>
    </row>
    <row r="46" spans="2:31" x14ac:dyDescent="0.25">
      <c r="B46" s="13" t="s">
        <v>12</v>
      </c>
      <c r="C46" t="s">
        <v>31</v>
      </c>
      <c r="D46" s="16">
        <v>1.26</v>
      </c>
      <c r="E46" s="16">
        <v>3537.06</v>
      </c>
      <c r="F46">
        <f t="shared" si="14"/>
        <v>3.5370599999999999</v>
      </c>
      <c r="G46" s="15">
        <f t="shared" si="15"/>
        <v>0.35622805380739936</v>
      </c>
      <c r="H46" s="13" t="s">
        <v>15</v>
      </c>
      <c r="I46" t="s">
        <v>31</v>
      </c>
      <c r="J46" s="14">
        <v>0.24</v>
      </c>
      <c r="K46" s="14">
        <v>2383.0100000000002</v>
      </c>
      <c r="L46">
        <f t="shared" si="16"/>
        <v>2.3830100000000001</v>
      </c>
      <c r="M46" s="15">
        <f t="shared" si="24"/>
        <v>0.10071296385663508</v>
      </c>
      <c r="N46" s="13" t="s">
        <v>17</v>
      </c>
      <c r="O46" t="s">
        <v>31</v>
      </c>
      <c r="P46" s="16">
        <v>1.17</v>
      </c>
      <c r="Q46" s="16">
        <v>1965.03</v>
      </c>
      <c r="R46">
        <f t="shared" si="18"/>
        <v>1.9650300000000001</v>
      </c>
      <c r="S46" s="15">
        <f t="shared" si="25"/>
        <v>0.59541075708767799</v>
      </c>
      <c r="T46" s="13" t="s">
        <v>19</v>
      </c>
      <c r="U46" t="s">
        <v>31</v>
      </c>
      <c r="V46" s="16">
        <v>0.34</v>
      </c>
      <c r="W46" s="16">
        <v>786.01</v>
      </c>
      <c r="X46">
        <f t="shared" si="20"/>
        <v>0.78600999999999999</v>
      </c>
      <c r="Y46" s="15">
        <f t="shared" si="26"/>
        <v>0.43256447118993402</v>
      </c>
      <c r="Z46" s="13" t="s">
        <v>21</v>
      </c>
      <c r="AA46" t="s">
        <v>31</v>
      </c>
      <c r="AB46" s="14" t="s">
        <v>26</v>
      </c>
      <c r="AC46" s="14" t="s">
        <v>26</v>
      </c>
      <c r="AD46" s="14" t="s">
        <v>26</v>
      </c>
      <c r="AE46" s="18" t="s">
        <v>26</v>
      </c>
    </row>
    <row r="47" spans="2:31" x14ac:dyDescent="0.25">
      <c r="B47" s="13" t="s">
        <v>12</v>
      </c>
      <c r="C47" t="s">
        <v>31</v>
      </c>
      <c r="D47" s="16">
        <v>1.46</v>
      </c>
      <c r="E47" s="16">
        <v>4519.58</v>
      </c>
      <c r="F47">
        <f t="shared" si="14"/>
        <v>4.5195799999999995</v>
      </c>
      <c r="G47" s="15">
        <f t="shared" si="15"/>
        <v>0.32303886644334212</v>
      </c>
      <c r="H47" s="13" t="s">
        <v>15</v>
      </c>
      <c r="I47" t="s">
        <v>31</v>
      </c>
      <c r="J47" s="14">
        <v>1.92</v>
      </c>
      <c r="K47" s="14">
        <v>3378.52</v>
      </c>
      <c r="L47">
        <f t="shared" si="16"/>
        <v>3.37852</v>
      </c>
      <c r="M47" s="15">
        <f t="shared" si="24"/>
        <v>0.56829617702425916</v>
      </c>
      <c r="N47" s="13" t="s">
        <v>17</v>
      </c>
      <c r="O47" t="s">
        <v>31</v>
      </c>
      <c r="P47" s="16">
        <v>0.48</v>
      </c>
      <c r="Q47" s="16">
        <v>1375.52</v>
      </c>
      <c r="R47">
        <f t="shared" si="18"/>
        <v>1.3755200000000001</v>
      </c>
      <c r="S47" s="15">
        <f t="shared" si="25"/>
        <v>0.3489589391648249</v>
      </c>
      <c r="T47" s="13" t="s">
        <v>19</v>
      </c>
      <c r="U47" t="s">
        <v>31</v>
      </c>
      <c r="V47" s="16">
        <v>0.79</v>
      </c>
      <c r="W47" s="16">
        <v>1965.03</v>
      </c>
      <c r="X47">
        <f t="shared" si="20"/>
        <v>1.9650300000000001</v>
      </c>
      <c r="Y47" s="15">
        <f t="shared" si="26"/>
        <v>0.4020294855549279</v>
      </c>
      <c r="Z47" s="13" t="s">
        <v>21</v>
      </c>
      <c r="AA47" t="s">
        <v>31</v>
      </c>
      <c r="AB47" s="14" t="s">
        <v>26</v>
      </c>
      <c r="AC47" s="14" t="s">
        <v>26</v>
      </c>
      <c r="AD47" s="14" t="s">
        <v>26</v>
      </c>
      <c r="AE47" s="18" t="s">
        <v>26</v>
      </c>
    </row>
    <row r="48" spans="2:31" x14ac:dyDescent="0.25">
      <c r="B48" s="13" t="s">
        <v>12</v>
      </c>
      <c r="C48" t="s">
        <v>31</v>
      </c>
      <c r="D48" s="16">
        <v>1.18</v>
      </c>
      <c r="E48" s="16">
        <v>1768.53</v>
      </c>
      <c r="F48">
        <f t="shared" si="14"/>
        <v>1.7685299999999999</v>
      </c>
      <c r="G48" s="15">
        <f t="shared" si="15"/>
        <v>0.66722079919481148</v>
      </c>
      <c r="H48" s="13" t="s">
        <v>15</v>
      </c>
      <c r="I48" t="s">
        <v>31</v>
      </c>
      <c r="J48" s="14">
        <v>1.3</v>
      </c>
      <c r="K48" s="14">
        <v>4716.08</v>
      </c>
      <c r="L48">
        <f t="shared" si="16"/>
        <v>4.7160799999999998</v>
      </c>
      <c r="M48" s="15">
        <f t="shared" si="24"/>
        <v>0.27565266068429717</v>
      </c>
      <c r="N48" s="13" t="s">
        <v>17</v>
      </c>
      <c r="O48" t="s">
        <v>31</v>
      </c>
      <c r="P48" s="16">
        <v>0.37</v>
      </c>
      <c r="Q48" s="16">
        <v>786.01</v>
      </c>
      <c r="R48">
        <f t="shared" si="18"/>
        <v>0.78600999999999999</v>
      </c>
      <c r="S48" s="15">
        <f t="shared" si="25"/>
        <v>0.47073192453022228</v>
      </c>
      <c r="T48" s="13" t="s">
        <v>19</v>
      </c>
      <c r="U48" t="s">
        <v>31</v>
      </c>
      <c r="V48" s="16">
        <v>0.34</v>
      </c>
      <c r="W48" s="16">
        <v>982.52</v>
      </c>
      <c r="X48">
        <f t="shared" si="20"/>
        <v>0.98251999999999995</v>
      </c>
      <c r="Y48" s="15">
        <f t="shared" si="26"/>
        <v>0.3460489353906282</v>
      </c>
      <c r="Z48" s="13" t="s">
        <v>21</v>
      </c>
      <c r="AA48" t="s">
        <v>31</v>
      </c>
      <c r="AB48" s="14" t="s">
        <v>26</v>
      </c>
      <c r="AC48" s="14" t="s">
        <v>26</v>
      </c>
      <c r="AD48" s="14" t="s">
        <v>26</v>
      </c>
      <c r="AE48" s="18" t="s">
        <v>26</v>
      </c>
    </row>
    <row r="49" spans="2:31" x14ac:dyDescent="0.25">
      <c r="B49" s="19" t="s">
        <v>12</v>
      </c>
      <c r="C49" s="20" t="s">
        <v>31</v>
      </c>
      <c r="D49" s="23">
        <v>2.0699999999999998</v>
      </c>
      <c r="E49" s="23">
        <v>8047.64</v>
      </c>
      <c r="F49" s="20">
        <f t="shared" si="14"/>
        <v>8.0476399999999995</v>
      </c>
      <c r="G49" s="22">
        <f t="shared" si="15"/>
        <v>0.25721826523055208</v>
      </c>
      <c r="H49" s="19" t="s">
        <v>15</v>
      </c>
      <c r="I49" s="20" t="s">
        <v>31</v>
      </c>
      <c r="J49" s="21">
        <v>0.91</v>
      </c>
      <c r="K49" s="21">
        <v>5109.09</v>
      </c>
      <c r="L49" s="20">
        <f t="shared" si="16"/>
        <v>5.1090900000000001</v>
      </c>
      <c r="M49" s="22">
        <f t="shared" si="24"/>
        <v>0.1781139106964254</v>
      </c>
      <c r="N49" s="19" t="s">
        <v>17</v>
      </c>
      <c r="O49" s="20" t="s">
        <v>31</v>
      </c>
      <c r="P49" s="21">
        <v>0.8</v>
      </c>
      <c r="Q49" s="21">
        <v>1965.03</v>
      </c>
      <c r="R49" s="20">
        <f t="shared" si="18"/>
        <v>1.9650300000000001</v>
      </c>
      <c r="S49" s="22">
        <f t="shared" si="25"/>
        <v>0.40711846638473714</v>
      </c>
      <c r="T49" s="19" t="s">
        <v>19</v>
      </c>
      <c r="U49" s="20" t="s">
        <v>31</v>
      </c>
      <c r="V49" s="21">
        <v>0.82</v>
      </c>
      <c r="W49" s="21">
        <v>1965.03</v>
      </c>
      <c r="X49" s="20">
        <f t="shared" si="20"/>
        <v>1.9650300000000001</v>
      </c>
      <c r="Y49" s="22">
        <f t="shared" si="26"/>
        <v>0.41729642804435552</v>
      </c>
      <c r="Z49" s="19" t="s">
        <v>21</v>
      </c>
      <c r="AA49" s="20" t="s">
        <v>31</v>
      </c>
      <c r="AB49" s="23" t="s">
        <v>26</v>
      </c>
      <c r="AC49" s="23" t="s">
        <v>26</v>
      </c>
      <c r="AD49" s="23" t="s">
        <v>26</v>
      </c>
      <c r="AE49" s="24" t="s">
        <v>26</v>
      </c>
    </row>
    <row r="55" spans="2:31" x14ac:dyDescent="0.25">
      <c r="D55" s="8"/>
      <c r="E5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696C-1913-485E-A51B-5E0223745318}">
  <dimension ref="A1:AE55"/>
  <sheetViews>
    <sheetView topLeftCell="A13" workbookViewId="0">
      <selection activeCell="A26" sqref="A26:XFD26"/>
    </sheetView>
  </sheetViews>
  <sheetFormatPr defaultRowHeight="15" x14ac:dyDescent="0.25"/>
  <sheetData>
    <row r="1" spans="1:31" x14ac:dyDescent="0.25">
      <c r="A1" t="s">
        <v>11</v>
      </c>
      <c r="B1" s="9" t="s">
        <v>3</v>
      </c>
      <c r="C1" s="10" t="s">
        <v>4</v>
      </c>
      <c r="D1" s="11" t="s">
        <v>6</v>
      </c>
      <c r="E1" s="11" t="s">
        <v>52</v>
      </c>
      <c r="F1" s="10" t="s">
        <v>53</v>
      </c>
      <c r="G1" s="12" t="s">
        <v>54</v>
      </c>
      <c r="H1" s="9" t="s">
        <v>3</v>
      </c>
      <c r="I1" s="10" t="s">
        <v>4</v>
      </c>
      <c r="J1" s="11" t="s">
        <v>6</v>
      </c>
      <c r="K1" s="11" t="s">
        <v>52</v>
      </c>
      <c r="L1" s="10" t="s">
        <v>53</v>
      </c>
      <c r="M1" s="12" t="s">
        <v>54</v>
      </c>
      <c r="N1" s="9" t="s">
        <v>3</v>
      </c>
      <c r="O1" s="10" t="s">
        <v>4</v>
      </c>
      <c r="P1" s="11" t="s">
        <v>6</v>
      </c>
      <c r="Q1" s="11" t="s">
        <v>52</v>
      </c>
      <c r="R1" s="10" t="s">
        <v>53</v>
      </c>
      <c r="S1" s="12" t="s">
        <v>54</v>
      </c>
      <c r="T1" s="9" t="s">
        <v>3</v>
      </c>
      <c r="U1" s="10" t="s">
        <v>4</v>
      </c>
      <c r="V1" s="11" t="s">
        <v>6</v>
      </c>
      <c r="W1" s="11" t="s">
        <v>52</v>
      </c>
      <c r="X1" s="10" t="s">
        <v>53</v>
      </c>
      <c r="Y1" s="12" t="s">
        <v>54</v>
      </c>
      <c r="Z1" s="9" t="s">
        <v>3</v>
      </c>
      <c r="AA1" s="10" t="s">
        <v>4</v>
      </c>
      <c r="AB1" s="11" t="s">
        <v>6</v>
      </c>
      <c r="AC1" s="11" t="s">
        <v>52</v>
      </c>
      <c r="AD1" s="10" t="s">
        <v>53</v>
      </c>
      <c r="AE1" s="12" t="s">
        <v>54</v>
      </c>
    </row>
    <row r="2" spans="1:31" x14ac:dyDescent="0.25">
      <c r="B2" s="13" t="s">
        <v>12</v>
      </c>
      <c r="C2" t="s">
        <v>13</v>
      </c>
      <c r="D2" s="14" t="s">
        <v>26</v>
      </c>
      <c r="E2" s="14" t="s">
        <v>26</v>
      </c>
      <c r="F2" s="14" t="s">
        <v>26</v>
      </c>
      <c r="G2" s="18" t="s">
        <v>26</v>
      </c>
      <c r="H2" s="13" t="s">
        <v>15</v>
      </c>
      <c r="I2" t="s">
        <v>13</v>
      </c>
      <c r="J2" s="14" t="s">
        <v>26</v>
      </c>
      <c r="K2" s="14" t="s">
        <v>26</v>
      </c>
      <c r="L2" s="14" t="s">
        <v>26</v>
      </c>
      <c r="M2" s="18" t="s">
        <v>26</v>
      </c>
      <c r="N2" s="13" t="s">
        <v>17</v>
      </c>
      <c r="O2" t="s">
        <v>13</v>
      </c>
      <c r="P2" s="14" t="s">
        <v>26</v>
      </c>
      <c r="Q2" s="14" t="s">
        <v>26</v>
      </c>
      <c r="R2" s="14" t="s">
        <v>26</v>
      </c>
      <c r="S2" s="18" t="s">
        <v>26</v>
      </c>
      <c r="T2" s="13" t="s">
        <v>19</v>
      </c>
      <c r="U2" t="s">
        <v>13</v>
      </c>
      <c r="V2" s="14" t="s">
        <v>26</v>
      </c>
      <c r="W2" s="14" t="s">
        <v>26</v>
      </c>
      <c r="X2" s="14" t="s">
        <v>26</v>
      </c>
      <c r="Y2" s="18" t="s">
        <v>26</v>
      </c>
      <c r="Z2" s="13" t="s">
        <v>21</v>
      </c>
      <c r="AA2" t="s">
        <v>13</v>
      </c>
      <c r="AB2" s="14" t="s">
        <v>26</v>
      </c>
      <c r="AC2" s="14" t="s">
        <v>26</v>
      </c>
      <c r="AD2" s="14" t="s">
        <v>26</v>
      </c>
      <c r="AE2" s="18" t="s">
        <v>26</v>
      </c>
    </row>
    <row r="3" spans="1:31" x14ac:dyDescent="0.25">
      <c r="B3" s="13" t="s">
        <v>12</v>
      </c>
      <c r="C3" t="s">
        <v>13</v>
      </c>
      <c r="D3" s="16">
        <v>1.08</v>
      </c>
      <c r="E3" s="16">
        <v>2751.05</v>
      </c>
      <c r="F3">
        <f t="shared" ref="F3:F25" si="0">E3/1000</f>
        <v>2.7510500000000002</v>
      </c>
      <c r="G3" s="15">
        <f t="shared" ref="G3:G25" si="1">D3/F3</f>
        <v>0.39257737954599153</v>
      </c>
      <c r="H3" s="13" t="s">
        <v>15</v>
      </c>
      <c r="I3" t="s">
        <v>13</v>
      </c>
      <c r="J3" s="28">
        <v>1.05</v>
      </c>
      <c r="K3" s="28">
        <v>2751.05</v>
      </c>
      <c r="L3">
        <f t="shared" ref="L3:L25" si="2">K3/1000</f>
        <v>2.7510500000000002</v>
      </c>
      <c r="M3" s="15">
        <f t="shared" ref="M3:M25" si="3">J3/L3</f>
        <v>0.38167245233638064</v>
      </c>
      <c r="N3" s="13" t="s">
        <v>17</v>
      </c>
      <c r="O3" t="s">
        <v>13</v>
      </c>
      <c r="P3" s="16">
        <v>0.85</v>
      </c>
      <c r="Q3" s="16">
        <v>1768.53</v>
      </c>
      <c r="R3">
        <f t="shared" ref="R3:R25" si="4">Q3/1000</f>
        <v>1.7685299999999999</v>
      </c>
      <c r="S3" s="15">
        <f t="shared" ref="S3:S25" si="5">P3/R3</f>
        <v>0.48062515196236422</v>
      </c>
      <c r="T3" s="13" t="s">
        <v>19</v>
      </c>
      <c r="U3" t="s">
        <v>13</v>
      </c>
      <c r="V3" s="14">
        <v>0.37</v>
      </c>
      <c r="W3" s="14">
        <v>786.01</v>
      </c>
      <c r="X3">
        <f t="shared" ref="X3:X25" si="6">W3/1000</f>
        <v>0.78600999999999999</v>
      </c>
      <c r="Y3" s="15">
        <f t="shared" ref="Y3:Y25" si="7">V3/X3</f>
        <v>0.47073192453022228</v>
      </c>
      <c r="Z3" s="13" t="s">
        <v>21</v>
      </c>
      <c r="AA3" t="s">
        <v>13</v>
      </c>
      <c r="AB3" s="14">
        <v>0.23</v>
      </c>
      <c r="AC3" s="14">
        <v>393.01</v>
      </c>
      <c r="AD3">
        <f t="shared" ref="AD3:AD25" si="8">AC3/1000</f>
        <v>0.39300999999999997</v>
      </c>
      <c r="AE3" s="15">
        <f t="shared" ref="AE3:AE25" si="9">AB3/AD3</f>
        <v>0.58522683901173</v>
      </c>
    </row>
    <row r="4" spans="1:31" x14ac:dyDescent="0.25">
      <c r="B4" s="13" t="s">
        <v>12</v>
      </c>
      <c r="C4" t="s">
        <v>13</v>
      </c>
      <c r="D4" s="27">
        <v>0.32</v>
      </c>
      <c r="E4" s="27">
        <v>1572.03</v>
      </c>
      <c r="F4">
        <f t="shared" si="0"/>
        <v>1.57203</v>
      </c>
      <c r="G4" s="15">
        <f t="shared" si="1"/>
        <v>0.20355845626355731</v>
      </c>
      <c r="H4" s="13" t="s">
        <v>15</v>
      </c>
      <c r="I4" t="s">
        <v>13</v>
      </c>
      <c r="J4" s="27">
        <v>0.59</v>
      </c>
      <c r="K4" s="27">
        <v>1429.52</v>
      </c>
      <c r="L4">
        <f t="shared" si="2"/>
        <v>1.4295199999999999</v>
      </c>
      <c r="M4" s="15">
        <f t="shared" si="3"/>
        <v>0.41272594996922046</v>
      </c>
      <c r="N4" s="13" t="s">
        <v>17</v>
      </c>
      <c r="O4" t="s">
        <v>13</v>
      </c>
      <c r="P4" s="27">
        <v>0.34</v>
      </c>
      <c r="Q4" s="27">
        <v>982.52</v>
      </c>
      <c r="R4">
        <f t="shared" si="4"/>
        <v>0.98251999999999995</v>
      </c>
      <c r="S4" s="15">
        <f t="shared" si="5"/>
        <v>0.3460489353906282</v>
      </c>
      <c r="T4" s="13" t="s">
        <v>19</v>
      </c>
      <c r="U4" t="s">
        <v>13</v>
      </c>
      <c r="V4" s="27">
        <v>0.41</v>
      </c>
      <c r="W4" s="27">
        <v>976.52</v>
      </c>
      <c r="X4">
        <f t="shared" si="6"/>
        <v>0.97651999999999994</v>
      </c>
      <c r="Y4" s="15">
        <f t="shared" si="7"/>
        <v>0.41985827223200756</v>
      </c>
      <c r="Z4" s="13" t="s">
        <v>21</v>
      </c>
      <c r="AA4" t="s">
        <v>13</v>
      </c>
      <c r="AB4" s="27">
        <v>0.11</v>
      </c>
      <c r="AC4" s="27">
        <v>347.5</v>
      </c>
      <c r="AD4">
        <f t="shared" si="8"/>
        <v>0.34749999999999998</v>
      </c>
      <c r="AE4" s="15">
        <f t="shared" si="9"/>
        <v>0.31654676258992809</v>
      </c>
    </row>
    <row r="5" spans="1:31" x14ac:dyDescent="0.25">
      <c r="B5" s="13" t="s">
        <v>12</v>
      </c>
      <c r="C5" t="s">
        <v>13</v>
      </c>
      <c r="D5" s="16">
        <v>0.67</v>
      </c>
      <c r="E5" s="16">
        <v>1375.52</v>
      </c>
      <c r="F5">
        <f t="shared" si="0"/>
        <v>1.3755200000000001</v>
      </c>
      <c r="G5" s="15">
        <f t="shared" si="1"/>
        <v>0.48708851925090146</v>
      </c>
      <c r="H5" s="13" t="s">
        <v>15</v>
      </c>
      <c r="I5" t="s">
        <v>13</v>
      </c>
      <c r="J5" s="28">
        <v>1.17</v>
      </c>
      <c r="K5" s="28">
        <v>1768.53</v>
      </c>
      <c r="L5">
        <f t="shared" si="2"/>
        <v>1.7685299999999999</v>
      </c>
      <c r="M5" s="15">
        <f t="shared" si="3"/>
        <v>0.66156638564231307</v>
      </c>
      <c r="N5" s="13" t="s">
        <v>17</v>
      </c>
      <c r="O5" t="s">
        <v>13</v>
      </c>
      <c r="P5" s="16">
        <v>1.31</v>
      </c>
      <c r="Q5" s="16">
        <v>2161.54</v>
      </c>
      <c r="R5">
        <f t="shared" si="4"/>
        <v>2.16154</v>
      </c>
      <c r="S5" s="15">
        <f t="shared" si="5"/>
        <v>0.60604939071217745</v>
      </c>
      <c r="T5" s="13" t="s">
        <v>19</v>
      </c>
      <c r="U5" t="s">
        <v>13</v>
      </c>
      <c r="V5" s="14">
        <v>0.55000000000000004</v>
      </c>
      <c r="W5" s="14">
        <v>1375.52</v>
      </c>
      <c r="X5">
        <f t="shared" si="6"/>
        <v>1.3755200000000001</v>
      </c>
      <c r="Y5" s="15">
        <f t="shared" si="7"/>
        <v>0.39984878445969524</v>
      </c>
      <c r="Z5" s="13" t="s">
        <v>21</v>
      </c>
      <c r="AA5" t="s">
        <v>13</v>
      </c>
      <c r="AB5" s="14">
        <v>0.09</v>
      </c>
      <c r="AC5" s="14">
        <v>393.01</v>
      </c>
      <c r="AD5">
        <f t="shared" si="8"/>
        <v>0.39300999999999997</v>
      </c>
      <c r="AE5" s="15">
        <f t="shared" si="9"/>
        <v>0.2290018065698074</v>
      </c>
    </row>
    <row r="6" spans="1:31" x14ac:dyDescent="0.25">
      <c r="B6" s="13" t="s">
        <v>12</v>
      </c>
      <c r="C6" t="s">
        <v>13</v>
      </c>
      <c r="D6" s="16">
        <v>0.26</v>
      </c>
      <c r="E6" s="16">
        <v>1572.03</v>
      </c>
      <c r="F6">
        <f t="shared" si="0"/>
        <v>1.57203</v>
      </c>
      <c r="G6" s="15">
        <f t="shared" si="1"/>
        <v>0.16539124571414032</v>
      </c>
      <c r="H6" s="13" t="s">
        <v>15</v>
      </c>
      <c r="I6" t="s">
        <v>13</v>
      </c>
      <c r="J6" s="28">
        <v>0.96</v>
      </c>
      <c r="K6" s="28">
        <v>4126.57</v>
      </c>
      <c r="L6">
        <f t="shared" si="2"/>
        <v>4.1265700000000001</v>
      </c>
      <c r="M6" s="15">
        <f t="shared" si="3"/>
        <v>0.23263872901707713</v>
      </c>
      <c r="N6" s="13" t="s">
        <v>17</v>
      </c>
      <c r="O6" t="s">
        <v>13</v>
      </c>
      <c r="P6" s="14">
        <v>0.61</v>
      </c>
      <c r="Q6" s="14">
        <v>3733.57</v>
      </c>
      <c r="R6">
        <f t="shared" si="4"/>
        <v>3.7335700000000003</v>
      </c>
      <c r="S6" s="15">
        <f t="shared" si="5"/>
        <v>0.16338249985938391</v>
      </c>
      <c r="T6" s="13" t="s">
        <v>19</v>
      </c>
      <c r="U6" t="s">
        <v>13</v>
      </c>
      <c r="V6">
        <v>8.6999999999999994E-2</v>
      </c>
      <c r="W6">
        <v>499.3</v>
      </c>
      <c r="X6">
        <f t="shared" si="6"/>
        <v>0.49930000000000002</v>
      </c>
      <c r="Y6" s="15">
        <f t="shared" si="7"/>
        <v>0.17424394151812536</v>
      </c>
      <c r="Z6" s="13" t="s">
        <v>21</v>
      </c>
      <c r="AA6" t="s">
        <v>13</v>
      </c>
      <c r="AB6" s="14">
        <v>0.26</v>
      </c>
      <c r="AC6" s="14">
        <v>1179.02</v>
      </c>
      <c r="AD6">
        <f t="shared" si="8"/>
        <v>1.17902</v>
      </c>
      <c r="AE6" s="15">
        <f t="shared" si="9"/>
        <v>0.22052212854743772</v>
      </c>
    </row>
    <row r="7" spans="1:31" x14ac:dyDescent="0.25">
      <c r="B7" s="13" t="s">
        <v>12</v>
      </c>
      <c r="C7" t="s">
        <v>13</v>
      </c>
      <c r="D7" s="16">
        <v>0.81</v>
      </c>
      <c r="E7" s="16">
        <v>2161.54</v>
      </c>
      <c r="F7">
        <f t="shared" si="0"/>
        <v>2.16154</v>
      </c>
      <c r="G7" s="15">
        <f t="shared" si="1"/>
        <v>0.3747328293716517</v>
      </c>
      <c r="H7" s="13" t="s">
        <v>15</v>
      </c>
      <c r="I7" t="s">
        <v>13</v>
      </c>
      <c r="J7" s="28">
        <v>1.85</v>
      </c>
      <c r="K7" s="28">
        <v>2554.5500000000002</v>
      </c>
      <c r="L7">
        <f t="shared" si="2"/>
        <v>2.5545500000000003</v>
      </c>
      <c r="M7" s="15">
        <f t="shared" si="3"/>
        <v>0.72419799964768738</v>
      </c>
      <c r="N7" s="13" t="s">
        <v>17</v>
      </c>
      <c r="O7" t="s">
        <v>13</v>
      </c>
      <c r="P7" s="16">
        <v>1.42</v>
      </c>
      <c r="Q7" s="16">
        <v>1572.03</v>
      </c>
      <c r="R7">
        <f t="shared" si="4"/>
        <v>1.57203</v>
      </c>
      <c r="S7" s="15">
        <f t="shared" si="5"/>
        <v>0.90329064966953554</v>
      </c>
      <c r="T7" s="13" t="s">
        <v>19</v>
      </c>
      <c r="U7" t="s">
        <v>13</v>
      </c>
      <c r="V7" s="14">
        <v>0.69</v>
      </c>
      <c r="W7" s="14">
        <v>1179.02</v>
      </c>
      <c r="X7">
        <f t="shared" si="6"/>
        <v>1.17902</v>
      </c>
      <c r="Y7" s="15">
        <f t="shared" si="7"/>
        <v>0.58523180268358466</v>
      </c>
      <c r="Z7" s="13" t="s">
        <v>21</v>
      </c>
      <c r="AA7" t="s">
        <v>13</v>
      </c>
      <c r="AB7" s="14" t="s">
        <v>26</v>
      </c>
      <c r="AC7" s="14" t="s">
        <v>26</v>
      </c>
      <c r="AD7" s="14" t="s">
        <v>26</v>
      </c>
      <c r="AE7" s="18" t="s">
        <v>26</v>
      </c>
    </row>
    <row r="8" spans="1:31" x14ac:dyDescent="0.25">
      <c r="B8" s="13" t="s">
        <v>12</v>
      </c>
      <c r="C8" t="s">
        <v>13</v>
      </c>
      <c r="D8" s="16">
        <v>0.28999999999999998</v>
      </c>
      <c r="E8" s="16">
        <v>2554.5500000000002</v>
      </c>
      <c r="F8">
        <f t="shared" si="0"/>
        <v>2.5545500000000003</v>
      </c>
      <c r="G8" s="15">
        <f t="shared" si="1"/>
        <v>0.11352292967450234</v>
      </c>
      <c r="H8" s="13" t="s">
        <v>15</v>
      </c>
      <c r="I8" t="s">
        <v>13</v>
      </c>
      <c r="J8" s="28">
        <v>1.4</v>
      </c>
      <c r="K8" s="28">
        <v>2751.05</v>
      </c>
      <c r="L8">
        <f t="shared" si="2"/>
        <v>2.7510500000000002</v>
      </c>
      <c r="M8" s="15">
        <f t="shared" si="3"/>
        <v>0.50889660311517415</v>
      </c>
      <c r="N8" s="13" t="s">
        <v>17</v>
      </c>
      <c r="O8" t="s">
        <v>13</v>
      </c>
      <c r="P8" s="16">
        <v>0.68</v>
      </c>
      <c r="Q8" s="16">
        <v>1572.03</v>
      </c>
      <c r="R8">
        <f t="shared" si="4"/>
        <v>1.57203</v>
      </c>
      <c r="S8" s="15">
        <f t="shared" si="5"/>
        <v>0.43256171956005929</v>
      </c>
      <c r="T8" s="13" t="s">
        <v>19</v>
      </c>
      <c r="U8" t="s">
        <v>13</v>
      </c>
      <c r="V8" s="14">
        <v>0.34</v>
      </c>
      <c r="W8" s="14">
        <v>1263.02</v>
      </c>
      <c r="X8">
        <f t="shared" si="6"/>
        <v>1.26302</v>
      </c>
      <c r="Y8" s="15">
        <f t="shared" si="7"/>
        <v>0.26919605390255102</v>
      </c>
      <c r="Z8" s="13" t="s">
        <v>21</v>
      </c>
      <c r="AA8" t="s">
        <v>13</v>
      </c>
      <c r="AB8" s="14">
        <v>0.19</v>
      </c>
      <c r="AC8" s="14">
        <v>393.01</v>
      </c>
      <c r="AD8">
        <f t="shared" si="8"/>
        <v>0.39300999999999997</v>
      </c>
      <c r="AE8" s="15">
        <f t="shared" si="9"/>
        <v>0.48344825831403787</v>
      </c>
    </row>
    <row r="9" spans="1:31" x14ac:dyDescent="0.25">
      <c r="B9" s="13" t="s">
        <v>12</v>
      </c>
      <c r="C9" t="s">
        <v>13</v>
      </c>
      <c r="D9" s="16">
        <v>0.27</v>
      </c>
      <c r="E9" s="16">
        <v>1965.03</v>
      </c>
      <c r="F9">
        <f t="shared" si="0"/>
        <v>1.9650300000000001</v>
      </c>
      <c r="G9" s="15">
        <f t="shared" si="1"/>
        <v>0.13740248240484879</v>
      </c>
      <c r="H9" s="13" t="s">
        <v>15</v>
      </c>
      <c r="I9" t="s">
        <v>13</v>
      </c>
      <c r="J9" s="28">
        <v>1.1200000000000001</v>
      </c>
      <c r="K9" s="28">
        <v>2751.05</v>
      </c>
      <c r="L9">
        <f t="shared" si="2"/>
        <v>2.7510500000000002</v>
      </c>
      <c r="M9" s="15">
        <f t="shared" si="3"/>
        <v>0.40711728249213935</v>
      </c>
      <c r="N9" s="13" t="s">
        <v>17</v>
      </c>
      <c r="O9" t="s">
        <v>13</v>
      </c>
      <c r="P9" s="16">
        <v>0.55000000000000004</v>
      </c>
      <c r="Q9" s="16">
        <v>1375.52</v>
      </c>
      <c r="R9">
        <f t="shared" si="4"/>
        <v>1.3755200000000001</v>
      </c>
      <c r="S9" s="15">
        <f t="shared" si="5"/>
        <v>0.39984878445969524</v>
      </c>
      <c r="T9" s="13" t="s">
        <v>19</v>
      </c>
      <c r="U9" t="s">
        <v>13</v>
      </c>
      <c r="V9" s="14">
        <v>0.53</v>
      </c>
      <c r="W9" s="14">
        <v>1965.03</v>
      </c>
      <c r="X9">
        <f t="shared" si="6"/>
        <v>1.9650300000000001</v>
      </c>
      <c r="Y9" s="15">
        <f t="shared" si="7"/>
        <v>0.26971598397988833</v>
      </c>
      <c r="Z9" s="13" t="s">
        <v>21</v>
      </c>
      <c r="AA9" t="s">
        <v>13</v>
      </c>
      <c r="AB9" s="14">
        <v>0.32</v>
      </c>
      <c r="AC9" s="14">
        <v>1375.52</v>
      </c>
      <c r="AD9">
        <f t="shared" si="8"/>
        <v>1.3755200000000001</v>
      </c>
      <c r="AE9" s="15">
        <f t="shared" si="9"/>
        <v>0.23263929277654996</v>
      </c>
    </row>
    <row r="10" spans="1:31" x14ac:dyDescent="0.25">
      <c r="B10" s="13" t="s">
        <v>12</v>
      </c>
      <c r="C10" t="s">
        <v>13</v>
      </c>
      <c r="D10" s="16">
        <v>0.96</v>
      </c>
      <c r="E10" s="16">
        <v>2751.05</v>
      </c>
      <c r="F10">
        <f t="shared" si="0"/>
        <v>2.7510500000000002</v>
      </c>
      <c r="G10" s="15">
        <f t="shared" si="1"/>
        <v>0.34895767070754796</v>
      </c>
      <c r="H10" s="13" t="s">
        <v>15</v>
      </c>
      <c r="I10" t="s">
        <v>13</v>
      </c>
      <c r="J10" s="28">
        <v>1.1499999999999999</v>
      </c>
      <c r="K10" s="28">
        <v>1768.53</v>
      </c>
      <c r="L10">
        <f t="shared" si="2"/>
        <v>1.7685299999999999</v>
      </c>
      <c r="M10" s="15">
        <f t="shared" si="3"/>
        <v>0.65025755853731626</v>
      </c>
      <c r="N10" s="13" t="s">
        <v>17</v>
      </c>
      <c r="O10" t="s">
        <v>13</v>
      </c>
      <c r="P10" s="16">
        <v>0.43</v>
      </c>
      <c r="Q10" s="16">
        <v>1375.52</v>
      </c>
      <c r="R10">
        <f t="shared" si="4"/>
        <v>1.3755200000000001</v>
      </c>
      <c r="S10" s="15">
        <f t="shared" si="5"/>
        <v>0.31260904966848896</v>
      </c>
      <c r="T10" s="13" t="s">
        <v>19</v>
      </c>
      <c r="U10" t="s">
        <v>13</v>
      </c>
      <c r="V10" s="14">
        <v>0.68</v>
      </c>
      <c r="W10" s="14">
        <v>2161.54</v>
      </c>
      <c r="X10">
        <f t="shared" si="6"/>
        <v>2.16154</v>
      </c>
      <c r="Y10" s="15">
        <f t="shared" si="7"/>
        <v>0.314590523423115</v>
      </c>
      <c r="Z10" s="13" t="s">
        <v>21</v>
      </c>
      <c r="AA10" t="s">
        <v>13</v>
      </c>
      <c r="AB10" s="14">
        <v>0.32</v>
      </c>
      <c r="AC10" s="14">
        <v>1375.52</v>
      </c>
      <c r="AD10">
        <f t="shared" si="8"/>
        <v>1.3755200000000001</v>
      </c>
      <c r="AE10" s="15">
        <f t="shared" si="9"/>
        <v>0.23263929277654996</v>
      </c>
    </row>
    <row r="11" spans="1:31" x14ac:dyDescent="0.25">
      <c r="B11" s="13" t="s">
        <v>12</v>
      </c>
      <c r="C11" t="s">
        <v>13</v>
      </c>
      <c r="D11" s="16">
        <v>1.48</v>
      </c>
      <c r="E11" s="16">
        <v>4126.57</v>
      </c>
      <c r="F11">
        <f t="shared" si="0"/>
        <v>4.1265700000000001</v>
      </c>
      <c r="G11" s="15">
        <f t="shared" si="1"/>
        <v>0.35865137390132723</v>
      </c>
      <c r="H11" s="13" t="s">
        <v>15</v>
      </c>
      <c r="I11" t="s">
        <v>13</v>
      </c>
      <c r="J11" s="28">
        <v>1.19</v>
      </c>
      <c r="K11" s="28">
        <v>2554.5500000000002</v>
      </c>
      <c r="L11">
        <f t="shared" si="2"/>
        <v>2.5545500000000003</v>
      </c>
      <c r="M11" s="15">
        <f t="shared" si="3"/>
        <v>0.4658354700436475</v>
      </c>
      <c r="N11" s="13" t="s">
        <v>17</v>
      </c>
      <c r="O11" t="s">
        <v>13</v>
      </c>
      <c r="P11" s="16">
        <v>0.33</v>
      </c>
      <c r="Q11" s="16">
        <v>786.01</v>
      </c>
      <c r="R11">
        <f t="shared" si="4"/>
        <v>0.78600999999999999</v>
      </c>
      <c r="S11" s="15">
        <f t="shared" si="5"/>
        <v>0.41984198674317125</v>
      </c>
      <c r="T11" s="13" t="s">
        <v>19</v>
      </c>
      <c r="U11" t="s">
        <v>13</v>
      </c>
      <c r="V11" s="14">
        <v>0.59</v>
      </c>
      <c r="W11" s="14">
        <v>1375.52</v>
      </c>
      <c r="X11">
        <f t="shared" si="6"/>
        <v>1.3755200000000001</v>
      </c>
      <c r="Y11" s="15">
        <f t="shared" si="7"/>
        <v>0.42892869605676393</v>
      </c>
      <c r="Z11" s="13" t="s">
        <v>21</v>
      </c>
      <c r="AA11" t="s">
        <v>13</v>
      </c>
      <c r="AB11" s="14">
        <v>0.57999999999999996</v>
      </c>
      <c r="AC11" s="14">
        <v>1179.02</v>
      </c>
      <c r="AD11">
        <f t="shared" si="8"/>
        <v>1.17902</v>
      </c>
      <c r="AE11" s="15">
        <f t="shared" si="9"/>
        <v>0.49193397906736103</v>
      </c>
    </row>
    <row r="12" spans="1:31" x14ac:dyDescent="0.25">
      <c r="B12" s="13" t="s">
        <v>12</v>
      </c>
      <c r="C12" t="s">
        <v>13</v>
      </c>
      <c r="D12" s="16">
        <v>0.16</v>
      </c>
      <c r="E12" s="16">
        <v>786.01</v>
      </c>
      <c r="F12">
        <f t="shared" si="0"/>
        <v>0.78600999999999999</v>
      </c>
      <c r="G12" s="15">
        <f t="shared" si="1"/>
        <v>0.20355975114820424</v>
      </c>
      <c r="H12" s="13" t="s">
        <v>15</v>
      </c>
      <c r="I12" t="s">
        <v>13</v>
      </c>
      <c r="J12" s="28">
        <v>1.53</v>
      </c>
      <c r="K12" s="28">
        <v>2554.5500000000002</v>
      </c>
      <c r="L12">
        <f t="shared" si="2"/>
        <v>2.5545500000000003</v>
      </c>
      <c r="M12" s="15">
        <f t="shared" si="3"/>
        <v>0.59893131862754689</v>
      </c>
      <c r="N12" s="13" t="s">
        <v>17</v>
      </c>
      <c r="O12" t="s">
        <v>13</v>
      </c>
      <c r="P12" s="16">
        <v>0.52</v>
      </c>
      <c r="Q12" s="16">
        <v>982.52</v>
      </c>
      <c r="R12">
        <f t="shared" si="4"/>
        <v>0.98251999999999995</v>
      </c>
      <c r="S12" s="15">
        <f t="shared" si="5"/>
        <v>0.52925131295037253</v>
      </c>
      <c r="T12" s="13" t="s">
        <v>19</v>
      </c>
      <c r="U12" t="s">
        <v>13</v>
      </c>
      <c r="V12" s="14">
        <v>0.51</v>
      </c>
      <c r="W12" s="14">
        <v>982.52</v>
      </c>
      <c r="X12">
        <f t="shared" si="6"/>
        <v>0.98251999999999995</v>
      </c>
      <c r="Y12" s="15">
        <f t="shared" si="7"/>
        <v>0.5190734030859423</v>
      </c>
      <c r="Z12" s="13" t="s">
        <v>21</v>
      </c>
      <c r="AA12" t="s">
        <v>13</v>
      </c>
      <c r="AB12" s="14">
        <v>0.23</v>
      </c>
      <c r="AC12" s="14">
        <v>786.01</v>
      </c>
      <c r="AD12">
        <f t="shared" si="8"/>
        <v>0.78600999999999999</v>
      </c>
      <c r="AE12" s="15">
        <f t="shared" si="9"/>
        <v>0.29261714227554358</v>
      </c>
    </row>
    <row r="13" spans="1:31" x14ac:dyDescent="0.25">
      <c r="B13" s="13" t="s">
        <v>12</v>
      </c>
      <c r="C13" t="s">
        <v>13</v>
      </c>
      <c r="D13" s="16">
        <v>0.83</v>
      </c>
      <c r="E13" s="16">
        <v>2358.04</v>
      </c>
      <c r="F13">
        <f t="shared" si="0"/>
        <v>2.3580399999999999</v>
      </c>
      <c r="G13" s="15">
        <f t="shared" si="1"/>
        <v>0.35198724364302558</v>
      </c>
      <c r="H13" s="13" t="s">
        <v>15</v>
      </c>
      <c r="I13" t="s">
        <v>13</v>
      </c>
      <c r="J13" s="28">
        <v>1.19</v>
      </c>
      <c r="K13" s="28">
        <v>2161.54</v>
      </c>
      <c r="L13">
        <f t="shared" si="2"/>
        <v>2.16154</v>
      </c>
      <c r="M13" s="15">
        <f t="shared" si="3"/>
        <v>0.55053341599045125</v>
      </c>
      <c r="N13" s="13" t="s">
        <v>17</v>
      </c>
      <c r="O13" t="s">
        <v>13</v>
      </c>
      <c r="P13" s="14" t="s">
        <v>26</v>
      </c>
      <c r="Q13" s="14" t="s">
        <v>26</v>
      </c>
      <c r="R13" s="14" t="s">
        <v>26</v>
      </c>
      <c r="S13" s="18" t="s">
        <v>26</v>
      </c>
      <c r="T13" s="13" t="s">
        <v>19</v>
      </c>
      <c r="U13" t="s">
        <v>13</v>
      </c>
      <c r="V13" s="14">
        <v>0.38</v>
      </c>
      <c r="W13" s="14">
        <v>786.01</v>
      </c>
      <c r="X13">
        <f t="shared" si="6"/>
        <v>0.78600999999999999</v>
      </c>
      <c r="Y13" s="15">
        <f t="shared" si="7"/>
        <v>0.48345440897698505</v>
      </c>
      <c r="Z13" s="13" t="s">
        <v>21</v>
      </c>
      <c r="AA13" t="s">
        <v>13</v>
      </c>
      <c r="AB13" s="14" t="s">
        <v>26</v>
      </c>
      <c r="AC13" s="14" t="s">
        <v>26</v>
      </c>
      <c r="AD13" s="14" t="s">
        <v>26</v>
      </c>
      <c r="AE13" s="18" t="s">
        <v>26</v>
      </c>
    </row>
    <row r="14" spans="1:31" x14ac:dyDescent="0.25">
      <c r="B14" s="13" t="s">
        <v>12</v>
      </c>
      <c r="C14" t="s">
        <v>31</v>
      </c>
      <c r="D14" s="16">
        <v>1.28</v>
      </c>
      <c r="E14" s="16">
        <v>2751.05</v>
      </c>
      <c r="F14">
        <f t="shared" si="0"/>
        <v>2.7510500000000002</v>
      </c>
      <c r="G14" s="15">
        <f t="shared" si="1"/>
        <v>0.46527689427673069</v>
      </c>
      <c r="H14" s="13" t="s">
        <v>15</v>
      </c>
      <c r="I14" t="s">
        <v>31</v>
      </c>
      <c r="J14" s="28">
        <v>0.35</v>
      </c>
      <c r="K14" s="28">
        <v>786.01</v>
      </c>
      <c r="L14">
        <f t="shared" si="2"/>
        <v>0.78600999999999999</v>
      </c>
      <c r="M14" s="15">
        <f t="shared" si="3"/>
        <v>0.44528695563669674</v>
      </c>
      <c r="N14" s="13" t="s">
        <v>17</v>
      </c>
      <c r="O14" t="s">
        <v>31</v>
      </c>
      <c r="P14" s="16">
        <v>0.89</v>
      </c>
      <c r="Q14" s="16">
        <v>1768.53</v>
      </c>
      <c r="R14">
        <f t="shared" si="4"/>
        <v>1.7685299999999999</v>
      </c>
      <c r="S14" s="15">
        <f t="shared" si="5"/>
        <v>0.50324280617235784</v>
      </c>
      <c r="T14" s="13" t="s">
        <v>19</v>
      </c>
      <c r="U14" t="s">
        <v>31</v>
      </c>
      <c r="V14" s="14">
        <v>0.44</v>
      </c>
      <c r="W14" s="14">
        <v>786.01</v>
      </c>
      <c r="X14">
        <f t="shared" si="6"/>
        <v>0.78600999999999999</v>
      </c>
      <c r="Y14" s="15">
        <f t="shared" si="7"/>
        <v>0.55978931565756163</v>
      </c>
      <c r="Z14" s="13" t="s">
        <v>21</v>
      </c>
      <c r="AA14" t="s">
        <v>31</v>
      </c>
      <c r="AB14" s="14" t="s">
        <v>26</v>
      </c>
      <c r="AC14" s="14" t="s">
        <v>26</v>
      </c>
      <c r="AD14" s="14" t="s">
        <v>26</v>
      </c>
      <c r="AE14" s="18" t="s">
        <v>26</v>
      </c>
    </row>
    <row r="15" spans="1:31" x14ac:dyDescent="0.25">
      <c r="B15" s="13" t="s">
        <v>12</v>
      </c>
      <c r="C15" t="s">
        <v>31</v>
      </c>
      <c r="D15" s="16">
        <v>1.93</v>
      </c>
      <c r="E15" s="16">
        <v>2358.04</v>
      </c>
      <c r="F15">
        <f t="shared" si="0"/>
        <v>2.3580399999999999</v>
      </c>
      <c r="G15" s="15">
        <f t="shared" si="1"/>
        <v>0.81847636172414373</v>
      </c>
      <c r="H15" s="13" t="s">
        <v>15</v>
      </c>
      <c r="I15" t="s">
        <v>31</v>
      </c>
      <c r="J15" s="28">
        <v>0.44</v>
      </c>
      <c r="K15" s="28">
        <v>786.01</v>
      </c>
      <c r="L15">
        <f t="shared" si="2"/>
        <v>0.78600999999999999</v>
      </c>
      <c r="M15" s="15">
        <f t="shared" si="3"/>
        <v>0.55978931565756163</v>
      </c>
      <c r="N15" s="13" t="s">
        <v>17</v>
      </c>
      <c r="O15" t="s">
        <v>31</v>
      </c>
      <c r="P15" s="16">
        <v>2.16</v>
      </c>
      <c r="Q15" s="16">
        <v>3144.06</v>
      </c>
      <c r="R15">
        <f t="shared" si="4"/>
        <v>3.1440600000000001</v>
      </c>
      <c r="S15" s="15">
        <f t="shared" si="5"/>
        <v>0.68700978988950601</v>
      </c>
      <c r="T15" s="13" t="s">
        <v>19</v>
      </c>
      <c r="U15" t="s">
        <v>31</v>
      </c>
      <c r="V15">
        <v>0.09</v>
      </c>
      <c r="W15">
        <v>146.85</v>
      </c>
      <c r="X15">
        <f t="shared" si="6"/>
        <v>0.14684999999999998</v>
      </c>
      <c r="Y15" s="15">
        <f t="shared" si="7"/>
        <v>0.61287027579162412</v>
      </c>
      <c r="Z15" s="13" t="s">
        <v>21</v>
      </c>
      <c r="AA15" t="s">
        <v>31</v>
      </c>
      <c r="AB15" s="14" t="s">
        <v>26</v>
      </c>
      <c r="AC15" s="14" t="s">
        <v>26</v>
      </c>
      <c r="AD15" s="14" t="s">
        <v>26</v>
      </c>
      <c r="AE15" s="18" t="s">
        <v>26</v>
      </c>
    </row>
    <row r="16" spans="1:31" x14ac:dyDescent="0.25">
      <c r="B16" s="13" t="s">
        <v>12</v>
      </c>
      <c r="C16" t="s">
        <v>31</v>
      </c>
      <c r="D16" s="16">
        <v>0.21</v>
      </c>
      <c r="E16" s="16">
        <v>589.51</v>
      </c>
      <c r="F16">
        <f t="shared" si="0"/>
        <v>0.58950999999999998</v>
      </c>
      <c r="G16" s="15">
        <f t="shared" si="1"/>
        <v>0.35622805380739936</v>
      </c>
      <c r="H16" s="13" t="s">
        <v>15</v>
      </c>
      <c r="I16" t="s">
        <v>31</v>
      </c>
      <c r="J16" s="28">
        <v>0.92</v>
      </c>
      <c r="K16" s="28">
        <v>1965.03</v>
      </c>
      <c r="L16">
        <f t="shared" si="2"/>
        <v>1.9650300000000001</v>
      </c>
      <c r="M16" s="15">
        <f t="shared" si="3"/>
        <v>0.46818623634244771</v>
      </c>
      <c r="N16" s="13" t="s">
        <v>17</v>
      </c>
      <c r="O16" t="s">
        <v>31</v>
      </c>
      <c r="P16" s="16">
        <v>1.1200000000000001</v>
      </c>
      <c r="Q16" s="16">
        <v>1768.53</v>
      </c>
      <c r="R16">
        <f t="shared" si="4"/>
        <v>1.7685299999999999</v>
      </c>
      <c r="S16" s="15">
        <f t="shared" si="5"/>
        <v>0.63329431787982116</v>
      </c>
      <c r="T16" s="13" t="s">
        <v>19</v>
      </c>
      <c r="U16" t="s">
        <v>31</v>
      </c>
      <c r="V16" s="14">
        <v>0.51</v>
      </c>
      <c r="W16" s="14">
        <v>1375.52</v>
      </c>
      <c r="X16">
        <f t="shared" si="6"/>
        <v>1.3755200000000001</v>
      </c>
      <c r="Y16" s="15">
        <f t="shared" si="7"/>
        <v>0.3707688728626265</v>
      </c>
      <c r="Z16" s="13" t="s">
        <v>21</v>
      </c>
      <c r="AA16" t="s">
        <v>31</v>
      </c>
      <c r="AB16" s="14" t="s">
        <v>26</v>
      </c>
      <c r="AC16" s="14" t="s">
        <v>26</v>
      </c>
      <c r="AD16" s="14" t="s">
        <v>26</v>
      </c>
      <c r="AE16" s="18" t="s">
        <v>26</v>
      </c>
    </row>
    <row r="17" spans="1:31" x14ac:dyDescent="0.25">
      <c r="B17" s="13" t="s">
        <v>12</v>
      </c>
      <c r="C17" t="s">
        <v>31</v>
      </c>
      <c r="D17" s="16">
        <v>0.96</v>
      </c>
      <c r="E17" s="16">
        <v>1572.03</v>
      </c>
      <c r="F17">
        <f t="shared" si="0"/>
        <v>1.57203</v>
      </c>
      <c r="G17" s="15">
        <f t="shared" si="1"/>
        <v>0.61067536879067186</v>
      </c>
      <c r="H17" s="13" t="s">
        <v>15</v>
      </c>
      <c r="I17" t="s">
        <v>31</v>
      </c>
      <c r="J17" s="28">
        <v>0.56999999999999995</v>
      </c>
      <c r="K17" s="28">
        <v>786.01</v>
      </c>
      <c r="L17">
        <f t="shared" si="2"/>
        <v>0.78600999999999999</v>
      </c>
      <c r="M17" s="15">
        <f t="shared" si="3"/>
        <v>0.72518161346547749</v>
      </c>
      <c r="N17" s="13" t="s">
        <v>17</v>
      </c>
      <c r="O17" t="s">
        <v>31</v>
      </c>
      <c r="P17" s="16">
        <v>1.78</v>
      </c>
      <c r="Q17" s="16">
        <v>2554.5500000000002</v>
      </c>
      <c r="R17">
        <f t="shared" si="4"/>
        <v>2.5545500000000003</v>
      </c>
      <c r="S17" s="15">
        <f t="shared" si="5"/>
        <v>0.6967959131745316</v>
      </c>
      <c r="T17" s="13" t="s">
        <v>19</v>
      </c>
      <c r="U17" t="s">
        <v>31</v>
      </c>
      <c r="V17" s="14">
        <v>0.77</v>
      </c>
      <c r="W17" s="14">
        <v>982.52</v>
      </c>
      <c r="X17">
        <f t="shared" si="6"/>
        <v>0.98251999999999995</v>
      </c>
      <c r="Y17" s="15">
        <f t="shared" si="7"/>
        <v>0.78369905956112862</v>
      </c>
      <c r="Z17" s="13" t="s">
        <v>21</v>
      </c>
      <c r="AA17" t="s">
        <v>31</v>
      </c>
      <c r="AB17" s="14">
        <v>0.17</v>
      </c>
      <c r="AC17" s="14">
        <v>393.01</v>
      </c>
      <c r="AD17">
        <f t="shared" si="8"/>
        <v>0.39300999999999997</v>
      </c>
      <c r="AE17" s="15">
        <f t="shared" si="9"/>
        <v>0.43255896796519178</v>
      </c>
    </row>
    <row r="18" spans="1:31" x14ac:dyDescent="0.25">
      <c r="B18" s="13" t="s">
        <v>12</v>
      </c>
      <c r="C18" t="s">
        <v>31</v>
      </c>
      <c r="D18" s="16">
        <v>0.54</v>
      </c>
      <c r="E18" s="16">
        <v>1965.03</v>
      </c>
      <c r="F18">
        <f t="shared" si="0"/>
        <v>1.9650300000000001</v>
      </c>
      <c r="G18" s="15">
        <f t="shared" si="1"/>
        <v>0.27480496480969757</v>
      </c>
      <c r="H18" s="13" t="s">
        <v>15</v>
      </c>
      <c r="I18" t="s">
        <v>31</v>
      </c>
      <c r="J18" s="28">
        <v>1.73</v>
      </c>
      <c r="K18" s="28">
        <v>3733.57</v>
      </c>
      <c r="L18">
        <f t="shared" si="2"/>
        <v>3.7335700000000003</v>
      </c>
      <c r="M18" s="15">
        <f t="shared" si="3"/>
        <v>0.46336348320776088</v>
      </c>
      <c r="N18" s="13" t="s">
        <v>17</v>
      </c>
      <c r="O18" t="s">
        <v>31</v>
      </c>
      <c r="P18" s="16">
        <v>1.1200000000000001</v>
      </c>
      <c r="Q18" s="16">
        <v>2751.05</v>
      </c>
      <c r="R18">
        <f t="shared" si="4"/>
        <v>2.7510500000000002</v>
      </c>
      <c r="S18" s="15">
        <f t="shared" si="5"/>
        <v>0.40711728249213935</v>
      </c>
      <c r="T18" s="13" t="s">
        <v>19</v>
      </c>
      <c r="U18" t="s">
        <v>31</v>
      </c>
      <c r="V18" s="14">
        <v>0.67</v>
      </c>
      <c r="W18" s="14">
        <v>1965.03</v>
      </c>
      <c r="X18">
        <f t="shared" si="6"/>
        <v>1.9650300000000001</v>
      </c>
      <c r="Y18" s="15">
        <f t="shared" si="7"/>
        <v>0.34096171559721733</v>
      </c>
      <c r="Z18" s="13" t="s">
        <v>21</v>
      </c>
      <c r="AA18" t="s">
        <v>31</v>
      </c>
      <c r="AB18" s="14">
        <v>0.22</v>
      </c>
      <c r="AC18" s="14">
        <v>589.51</v>
      </c>
      <c r="AD18">
        <f t="shared" si="8"/>
        <v>0.58950999999999998</v>
      </c>
      <c r="AE18" s="15">
        <f t="shared" si="9"/>
        <v>0.37319129446489457</v>
      </c>
    </row>
    <row r="19" spans="1:31" x14ac:dyDescent="0.25">
      <c r="B19" s="13" t="s">
        <v>12</v>
      </c>
      <c r="C19" t="s">
        <v>31</v>
      </c>
      <c r="D19" s="16">
        <v>0.66</v>
      </c>
      <c r="E19" s="16">
        <v>1768.53</v>
      </c>
      <c r="F19">
        <f t="shared" si="0"/>
        <v>1.7685299999999999</v>
      </c>
      <c r="G19" s="15">
        <f t="shared" si="1"/>
        <v>0.37319129446489463</v>
      </c>
      <c r="H19" s="13" t="s">
        <v>15</v>
      </c>
      <c r="I19" t="s">
        <v>31</v>
      </c>
      <c r="J19" s="28">
        <v>1.1100000000000001</v>
      </c>
      <c r="K19" s="28">
        <v>1572.03</v>
      </c>
      <c r="L19">
        <f t="shared" si="2"/>
        <v>1.57203</v>
      </c>
      <c r="M19" s="15">
        <f t="shared" si="3"/>
        <v>0.70609339516421443</v>
      </c>
      <c r="N19" s="13" t="s">
        <v>17</v>
      </c>
      <c r="O19" t="s">
        <v>31</v>
      </c>
      <c r="P19" s="16">
        <v>1.56</v>
      </c>
      <c r="Q19" s="16">
        <v>2161.54</v>
      </c>
      <c r="R19">
        <f t="shared" si="4"/>
        <v>2.16154</v>
      </c>
      <c r="S19" s="15">
        <f t="shared" si="5"/>
        <v>0.7217076713824403</v>
      </c>
      <c r="T19" s="13" t="s">
        <v>19</v>
      </c>
      <c r="U19" t="s">
        <v>31</v>
      </c>
      <c r="V19" s="14">
        <v>0.46</v>
      </c>
      <c r="W19" s="14">
        <v>786.01</v>
      </c>
      <c r="X19">
        <f t="shared" si="6"/>
        <v>0.78600999999999999</v>
      </c>
      <c r="Y19" s="15">
        <f t="shared" si="7"/>
        <v>0.58523428455108717</v>
      </c>
      <c r="Z19" s="13" t="s">
        <v>21</v>
      </c>
      <c r="AA19" t="s">
        <v>31</v>
      </c>
      <c r="AB19" s="14">
        <v>0.15</v>
      </c>
      <c r="AC19" s="14">
        <v>589.51</v>
      </c>
      <c r="AD19">
        <f t="shared" si="8"/>
        <v>0.58950999999999998</v>
      </c>
      <c r="AE19" s="15">
        <f t="shared" si="9"/>
        <v>0.25444860986242812</v>
      </c>
    </row>
    <row r="20" spans="1:31" x14ac:dyDescent="0.25">
      <c r="B20" s="13" t="s">
        <v>12</v>
      </c>
      <c r="C20" t="s">
        <v>31</v>
      </c>
      <c r="D20" s="16">
        <v>0.62</v>
      </c>
      <c r="E20" s="16">
        <v>2751.05</v>
      </c>
      <c r="F20">
        <f t="shared" si="0"/>
        <v>2.7510500000000002</v>
      </c>
      <c r="G20" s="15">
        <f t="shared" si="1"/>
        <v>0.22536849566529141</v>
      </c>
      <c r="H20" s="13" t="s">
        <v>15</v>
      </c>
      <c r="I20" t="s">
        <v>31</v>
      </c>
      <c r="J20" s="28">
        <v>1.18</v>
      </c>
      <c r="K20" s="28">
        <v>4519.58</v>
      </c>
      <c r="L20">
        <f t="shared" si="2"/>
        <v>4.5195799999999995</v>
      </c>
      <c r="M20" s="15">
        <f t="shared" si="3"/>
        <v>0.26108620712544089</v>
      </c>
      <c r="N20" s="13" t="s">
        <v>17</v>
      </c>
      <c r="O20" t="s">
        <v>31</v>
      </c>
      <c r="P20" s="16">
        <v>0.89</v>
      </c>
      <c r="Q20" s="16">
        <v>1572.03</v>
      </c>
      <c r="R20">
        <f t="shared" si="4"/>
        <v>1.57203</v>
      </c>
      <c r="S20" s="15">
        <f t="shared" si="5"/>
        <v>0.56614695648301872</v>
      </c>
      <c r="T20" s="13" t="s">
        <v>19</v>
      </c>
      <c r="U20" t="s">
        <v>31</v>
      </c>
      <c r="V20" s="14">
        <v>0.6</v>
      </c>
      <c r="W20" s="14">
        <v>1375.52</v>
      </c>
      <c r="X20">
        <f t="shared" si="6"/>
        <v>1.3755200000000001</v>
      </c>
      <c r="Y20" s="15">
        <f t="shared" si="7"/>
        <v>0.43619867395603112</v>
      </c>
      <c r="Z20" s="13" t="s">
        <v>21</v>
      </c>
      <c r="AA20" t="s">
        <v>31</v>
      </c>
      <c r="AB20" s="14">
        <v>0.1</v>
      </c>
      <c r="AC20" s="14">
        <v>393.01</v>
      </c>
      <c r="AD20">
        <f t="shared" si="8"/>
        <v>0.39300999999999997</v>
      </c>
      <c r="AE20" s="15">
        <f t="shared" si="9"/>
        <v>0.25444645174423047</v>
      </c>
    </row>
    <row r="21" spans="1:31" x14ac:dyDescent="0.25">
      <c r="B21" s="13" t="s">
        <v>12</v>
      </c>
      <c r="C21" t="s">
        <v>31</v>
      </c>
      <c r="D21" s="16">
        <v>0.64</v>
      </c>
      <c r="E21" s="16">
        <v>2358.04</v>
      </c>
      <c r="F21">
        <f t="shared" si="0"/>
        <v>2.3580399999999999</v>
      </c>
      <c r="G21" s="15">
        <f t="shared" si="1"/>
        <v>0.27141185051992334</v>
      </c>
      <c r="H21" s="13" t="s">
        <v>15</v>
      </c>
      <c r="I21" t="s">
        <v>31</v>
      </c>
      <c r="J21" s="28">
        <v>0.42</v>
      </c>
      <c r="K21" s="28">
        <v>982.52</v>
      </c>
      <c r="L21">
        <f t="shared" si="2"/>
        <v>0.98251999999999995</v>
      </c>
      <c r="M21" s="15">
        <f t="shared" si="3"/>
        <v>0.42747221430607013</v>
      </c>
      <c r="N21" s="13" t="s">
        <v>17</v>
      </c>
      <c r="O21" t="s">
        <v>31</v>
      </c>
      <c r="P21" s="16">
        <v>1.22</v>
      </c>
      <c r="Q21" s="16">
        <v>2358.04</v>
      </c>
      <c r="R21">
        <f t="shared" si="4"/>
        <v>2.3580399999999999</v>
      </c>
      <c r="S21" s="15">
        <f t="shared" si="5"/>
        <v>0.51737884005360379</v>
      </c>
      <c r="T21" s="13" t="s">
        <v>19</v>
      </c>
      <c r="U21" t="s">
        <v>31</v>
      </c>
      <c r="V21" s="14">
        <v>0.75</v>
      </c>
      <c r="W21" s="14">
        <v>1179.02</v>
      </c>
      <c r="X21">
        <f t="shared" si="6"/>
        <v>1.17902</v>
      </c>
      <c r="Y21" s="15">
        <f t="shared" si="7"/>
        <v>0.6361215246560703</v>
      </c>
      <c r="Z21" s="13" t="s">
        <v>21</v>
      </c>
      <c r="AA21" t="s">
        <v>31</v>
      </c>
      <c r="AB21" s="14">
        <v>0.31</v>
      </c>
      <c r="AC21" s="14">
        <v>393.01</v>
      </c>
      <c r="AD21">
        <f t="shared" si="8"/>
        <v>0.39300999999999997</v>
      </c>
      <c r="AE21" s="15">
        <f t="shared" si="9"/>
        <v>0.78878400040711438</v>
      </c>
    </row>
    <row r="22" spans="1:31" x14ac:dyDescent="0.25">
      <c r="B22" s="13" t="s">
        <v>12</v>
      </c>
      <c r="C22" t="s">
        <v>31</v>
      </c>
      <c r="D22" s="14" t="s">
        <v>26</v>
      </c>
      <c r="E22" s="14" t="s">
        <v>26</v>
      </c>
      <c r="F22" s="14" t="s">
        <v>26</v>
      </c>
      <c r="G22" s="18" t="s">
        <v>26</v>
      </c>
      <c r="H22" s="13" t="s">
        <v>15</v>
      </c>
      <c r="I22" t="s">
        <v>31</v>
      </c>
      <c r="J22" s="28">
        <v>0.48</v>
      </c>
      <c r="K22" s="28">
        <v>1375.52</v>
      </c>
      <c r="L22">
        <f t="shared" si="2"/>
        <v>1.3755200000000001</v>
      </c>
      <c r="M22" s="15">
        <f t="shared" si="3"/>
        <v>0.3489589391648249</v>
      </c>
      <c r="N22" s="13" t="s">
        <v>17</v>
      </c>
      <c r="O22" t="s">
        <v>31</v>
      </c>
      <c r="P22" s="16">
        <v>0.52</v>
      </c>
      <c r="Q22" s="16">
        <v>1572.03</v>
      </c>
      <c r="R22">
        <f t="shared" si="4"/>
        <v>1.57203</v>
      </c>
      <c r="S22" s="15">
        <f t="shared" si="5"/>
        <v>0.33078249142828064</v>
      </c>
      <c r="T22" s="13" t="s">
        <v>19</v>
      </c>
      <c r="U22" t="s">
        <v>31</v>
      </c>
      <c r="V22" s="14">
        <v>0.3</v>
      </c>
      <c r="W22" s="14">
        <v>1375.52</v>
      </c>
      <c r="X22">
        <f t="shared" si="6"/>
        <v>1.3755200000000001</v>
      </c>
      <c r="Y22" s="15">
        <f t="shared" si="7"/>
        <v>0.21809933697801556</v>
      </c>
      <c r="Z22" s="13" t="s">
        <v>21</v>
      </c>
      <c r="AA22" t="s">
        <v>31</v>
      </c>
      <c r="AB22" s="14">
        <v>0.19</v>
      </c>
      <c r="AC22" s="14">
        <v>393.01</v>
      </c>
      <c r="AD22">
        <f t="shared" si="8"/>
        <v>0.39300999999999997</v>
      </c>
      <c r="AE22" s="15">
        <f t="shared" si="9"/>
        <v>0.48344825831403787</v>
      </c>
    </row>
    <row r="23" spans="1:31" x14ac:dyDescent="0.25">
      <c r="B23" s="13" t="s">
        <v>12</v>
      </c>
      <c r="C23" t="s">
        <v>31</v>
      </c>
      <c r="D23" s="16">
        <v>1.1100000000000001</v>
      </c>
      <c r="E23" s="16">
        <v>2751.05</v>
      </c>
      <c r="F23">
        <f t="shared" si="0"/>
        <v>2.7510500000000002</v>
      </c>
      <c r="G23" s="15">
        <f t="shared" si="1"/>
        <v>0.40348230675560243</v>
      </c>
      <c r="H23" s="13" t="s">
        <v>15</v>
      </c>
      <c r="I23" t="s">
        <v>31</v>
      </c>
      <c r="J23" s="28">
        <v>0.93</v>
      </c>
      <c r="K23" s="28">
        <v>1768.53</v>
      </c>
      <c r="L23">
        <f t="shared" si="2"/>
        <v>1.7685299999999999</v>
      </c>
      <c r="M23" s="15">
        <f t="shared" si="3"/>
        <v>0.52586046038235146</v>
      </c>
      <c r="N23" s="13" t="s">
        <v>17</v>
      </c>
      <c r="O23" t="s">
        <v>31</v>
      </c>
      <c r="P23" s="16">
        <v>1.1200000000000001</v>
      </c>
      <c r="Q23" s="16">
        <v>2161.54</v>
      </c>
      <c r="R23">
        <f t="shared" si="4"/>
        <v>2.16154</v>
      </c>
      <c r="S23" s="15">
        <f t="shared" si="5"/>
        <v>0.5181490974027777</v>
      </c>
      <c r="T23" s="13" t="s">
        <v>19</v>
      </c>
      <c r="U23" t="s">
        <v>31</v>
      </c>
      <c r="V23" s="14">
        <v>0.5</v>
      </c>
      <c r="W23" s="14">
        <v>1375.52</v>
      </c>
      <c r="X23">
        <f t="shared" si="6"/>
        <v>1.3755200000000001</v>
      </c>
      <c r="Y23" s="15">
        <f t="shared" si="7"/>
        <v>0.3634988949633593</v>
      </c>
      <c r="Z23" s="13" t="s">
        <v>21</v>
      </c>
      <c r="AA23" t="s">
        <v>31</v>
      </c>
      <c r="AB23" s="14">
        <v>0.4</v>
      </c>
      <c r="AC23" s="14">
        <v>982.52</v>
      </c>
      <c r="AD23">
        <f t="shared" si="8"/>
        <v>0.98251999999999995</v>
      </c>
      <c r="AE23" s="15">
        <f t="shared" si="9"/>
        <v>0.40711639457720966</v>
      </c>
    </row>
    <row r="24" spans="1:31" x14ac:dyDescent="0.25">
      <c r="B24" s="13" t="s">
        <v>12</v>
      </c>
      <c r="C24" t="s">
        <v>31</v>
      </c>
      <c r="D24" s="16">
        <v>0.28999999999999998</v>
      </c>
      <c r="E24" s="16">
        <v>982.52</v>
      </c>
      <c r="F24">
        <f t="shared" si="0"/>
        <v>0.98251999999999995</v>
      </c>
      <c r="G24" s="15">
        <f t="shared" si="1"/>
        <v>0.29515938606847697</v>
      </c>
      <c r="H24" s="13" t="s">
        <v>15</v>
      </c>
      <c r="I24" t="s">
        <v>31</v>
      </c>
      <c r="J24" s="28">
        <v>0.8</v>
      </c>
      <c r="K24" s="28">
        <v>1768.53</v>
      </c>
      <c r="L24">
        <f t="shared" si="2"/>
        <v>1.7685299999999999</v>
      </c>
      <c r="M24" s="15">
        <f t="shared" si="3"/>
        <v>0.45235308419987225</v>
      </c>
      <c r="N24" s="13" t="s">
        <v>17</v>
      </c>
      <c r="O24" t="s">
        <v>31</v>
      </c>
      <c r="P24" s="16">
        <v>0.66</v>
      </c>
      <c r="Q24" s="16">
        <v>982.52</v>
      </c>
      <c r="R24">
        <f t="shared" si="4"/>
        <v>0.98251999999999995</v>
      </c>
      <c r="S24" s="15">
        <f t="shared" si="5"/>
        <v>0.67174205105239593</v>
      </c>
      <c r="T24" s="13" t="s">
        <v>19</v>
      </c>
      <c r="U24" t="s">
        <v>31</v>
      </c>
      <c r="V24" s="14">
        <v>0.53</v>
      </c>
      <c r="W24" s="14">
        <v>1179.02</v>
      </c>
      <c r="X24">
        <f t="shared" si="6"/>
        <v>1.17902</v>
      </c>
      <c r="Y24" s="15">
        <f t="shared" si="7"/>
        <v>0.44952587742362304</v>
      </c>
      <c r="Z24" s="13" t="s">
        <v>21</v>
      </c>
      <c r="AA24" t="s">
        <v>31</v>
      </c>
      <c r="AB24" s="14">
        <v>0.25</v>
      </c>
      <c r="AC24" s="14">
        <v>393.01</v>
      </c>
      <c r="AD24">
        <f t="shared" si="8"/>
        <v>0.39300999999999997</v>
      </c>
      <c r="AE24" s="15">
        <f t="shared" si="9"/>
        <v>0.63611612936057615</v>
      </c>
    </row>
    <row r="25" spans="1:31" x14ac:dyDescent="0.25">
      <c r="B25" s="19" t="s">
        <v>12</v>
      </c>
      <c r="C25" s="20" t="s">
        <v>31</v>
      </c>
      <c r="D25" s="21">
        <v>1</v>
      </c>
      <c r="E25" s="21">
        <v>1965.03</v>
      </c>
      <c r="F25" s="20">
        <f t="shared" si="0"/>
        <v>1.9650300000000001</v>
      </c>
      <c r="G25" s="22">
        <f t="shared" si="1"/>
        <v>0.50889808298092143</v>
      </c>
      <c r="H25" s="19" t="s">
        <v>15</v>
      </c>
      <c r="I25" s="20" t="s">
        <v>31</v>
      </c>
      <c r="J25" s="29">
        <v>0.43</v>
      </c>
      <c r="K25" s="29">
        <v>1179.02</v>
      </c>
      <c r="L25" s="20">
        <f t="shared" si="2"/>
        <v>1.17902</v>
      </c>
      <c r="M25" s="22">
        <f t="shared" si="3"/>
        <v>0.36470967413614697</v>
      </c>
      <c r="N25" s="19" t="s">
        <v>17</v>
      </c>
      <c r="O25" s="20" t="s">
        <v>31</v>
      </c>
      <c r="P25" s="21">
        <v>0.69</v>
      </c>
      <c r="Q25" s="21">
        <v>1572.03</v>
      </c>
      <c r="R25" s="20">
        <f t="shared" si="4"/>
        <v>1.57203</v>
      </c>
      <c r="S25" s="22">
        <f t="shared" si="5"/>
        <v>0.43892292131829541</v>
      </c>
      <c r="T25" s="19" t="s">
        <v>19</v>
      </c>
      <c r="U25" s="20" t="s">
        <v>31</v>
      </c>
      <c r="V25" s="23">
        <v>0.43</v>
      </c>
      <c r="W25" s="23">
        <v>1375.52</v>
      </c>
      <c r="X25" s="20">
        <f t="shared" si="6"/>
        <v>1.3755200000000001</v>
      </c>
      <c r="Y25" s="22">
        <f t="shared" si="7"/>
        <v>0.31260904966848896</v>
      </c>
      <c r="Z25" s="19" t="s">
        <v>21</v>
      </c>
      <c r="AA25" s="20" t="s">
        <v>31</v>
      </c>
      <c r="AB25" s="23">
        <v>0.2</v>
      </c>
      <c r="AC25" s="23">
        <v>786.01</v>
      </c>
      <c r="AD25" s="20">
        <f t="shared" si="8"/>
        <v>0.78600999999999999</v>
      </c>
      <c r="AE25" s="22">
        <f t="shared" si="9"/>
        <v>0.25444968893525527</v>
      </c>
    </row>
    <row r="26" spans="1:31" x14ac:dyDescent="0.25">
      <c r="A26" t="s">
        <v>34</v>
      </c>
      <c r="B26" s="9" t="s">
        <v>12</v>
      </c>
      <c r="C26" s="10" t="s">
        <v>13</v>
      </c>
      <c r="D26" s="11">
        <v>0.6</v>
      </c>
      <c r="E26" s="11">
        <v>1766.53</v>
      </c>
      <c r="F26" s="10">
        <f>E26/1000</f>
        <v>1.7665299999999999</v>
      </c>
      <c r="G26" s="12">
        <f>D26/F26</f>
        <v>0.33964891623691645</v>
      </c>
      <c r="H26" s="9" t="s">
        <v>15</v>
      </c>
      <c r="I26" s="10" t="s">
        <v>13</v>
      </c>
      <c r="J26" s="11">
        <v>0.51</v>
      </c>
      <c r="K26" s="11">
        <v>1613.99</v>
      </c>
      <c r="L26" s="10">
        <f>K26/1000</f>
        <v>1.61399</v>
      </c>
      <c r="M26" s="12">
        <f>J26/L26</f>
        <v>0.31598708790017288</v>
      </c>
      <c r="N26" s="9" t="s">
        <v>17</v>
      </c>
      <c r="O26" s="10" t="s">
        <v>13</v>
      </c>
      <c r="P26" s="26">
        <v>0.12</v>
      </c>
      <c r="Q26" s="26">
        <v>589.51</v>
      </c>
      <c r="R26" s="10">
        <f>Q26/1000</f>
        <v>0.58950999999999998</v>
      </c>
      <c r="S26" s="12">
        <f>P26/R26</f>
        <v>0.2035588878899425</v>
      </c>
      <c r="T26" s="9" t="s">
        <v>19</v>
      </c>
      <c r="U26" s="10" t="s">
        <v>13</v>
      </c>
      <c r="V26" s="26">
        <v>0.41</v>
      </c>
      <c r="W26" s="26">
        <v>982.52</v>
      </c>
      <c r="X26" s="10">
        <f>W26/1000</f>
        <v>0.98251999999999995</v>
      </c>
      <c r="Y26" s="12">
        <f t="shared" ref="Y26:Y49" si="10">V26/X26</f>
        <v>0.41729430444163984</v>
      </c>
      <c r="Z26" s="9" t="s">
        <v>21</v>
      </c>
      <c r="AA26" s="10" t="s">
        <v>13</v>
      </c>
      <c r="AB26" s="26">
        <v>0.13</v>
      </c>
      <c r="AC26" s="26">
        <v>589.51</v>
      </c>
      <c r="AD26" s="10">
        <f>AC26/1000</f>
        <v>0.58950999999999998</v>
      </c>
      <c r="AE26" s="12">
        <f>AB26/AD26</f>
        <v>0.22052212854743772</v>
      </c>
    </row>
    <row r="27" spans="1:31" x14ac:dyDescent="0.25">
      <c r="B27" s="13" t="s">
        <v>12</v>
      </c>
      <c r="C27" t="s">
        <v>13</v>
      </c>
      <c r="D27" s="14" t="s">
        <v>26</v>
      </c>
      <c r="E27" s="14" t="s">
        <v>26</v>
      </c>
      <c r="F27" s="14" t="s">
        <v>26</v>
      </c>
      <c r="G27" s="18" t="s">
        <v>26</v>
      </c>
      <c r="H27" s="13" t="s">
        <v>15</v>
      </c>
      <c r="I27" t="s">
        <v>13</v>
      </c>
      <c r="J27" s="16">
        <v>0.52</v>
      </c>
      <c r="K27" s="16">
        <v>1768.53</v>
      </c>
      <c r="L27">
        <f t="shared" ref="L27:L48" si="11">K27/1000</f>
        <v>1.7685299999999999</v>
      </c>
      <c r="M27" s="15">
        <f t="shared" ref="M27:M48" si="12">J27/L27</f>
        <v>0.29402950472991696</v>
      </c>
      <c r="N27" s="13" t="s">
        <v>17</v>
      </c>
      <c r="O27" t="s">
        <v>13</v>
      </c>
      <c r="P27" s="16">
        <v>0.17</v>
      </c>
      <c r="Q27" s="16">
        <v>786.01</v>
      </c>
      <c r="R27">
        <f t="shared" ref="R27:R49" si="13">Q27/1000</f>
        <v>0.78600999999999999</v>
      </c>
      <c r="S27" s="15">
        <f t="shared" ref="S27:S49" si="14">P27/R27</f>
        <v>0.21628223559496701</v>
      </c>
      <c r="T27" s="13" t="s">
        <v>19</v>
      </c>
      <c r="U27" t="s">
        <v>13</v>
      </c>
      <c r="V27" s="16">
        <v>0.35</v>
      </c>
      <c r="W27" s="16">
        <v>982.52</v>
      </c>
      <c r="X27">
        <f t="shared" ref="X27:X49" si="15">W27/1000</f>
        <v>0.98251999999999995</v>
      </c>
      <c r="Y27" s="15">
        <f t="shared" si="10"/>
        <v>0.35622684525505843</v>
      </c>
      <c r="Z27" s="13" t="s">
        <v>21</v>
      </c>
      <c r="AA27" t="s">
        <v>13</v>
      </c>
      <c r="AB27" s="14" t="s">
        <v>26</v>
      </c>
      <c r="AC27" s="14" t="s">
        <v>26</v>
      </c>
      <c r="AD27" s="14" t="s">
        <v>26</v>
      </c>
      <c r="AE27" s="18" t="s">
        <v>26</v>
      </c>
    </row>
    <row r="28" spans="1:31" x14ac:dyDescent="0.25">
      <c r="B28" s="13" t="s">
        <v>12</v>
      </c>
      <c r="C28" t="s">
        <v>13</v>
      </c>
      <c r="D28" s="16">
        <v>0.82</v>
      </c>
      <c r="E28" s="16">
        <v>2554.5500000000002</v>
      </c>
      <c r="F28">
        <f t="shared" ref="F28:F49" si="16">E28/1000</f>
        <v>2.5545500000000003</v>
      </c>
      <c r="G28" s="15">
        <f t="shared" ref="G28:G49" si="17">D28/F28</f>
        <v>0.32099587011411007</v>
      </c>
      <c r="H28" s="13" t="s">
        <v>15</v>
      </c>
      <c r="I28" t="s">
        <v>13</v>
      </c>
      <c r="J28" s="16">
        <v>0.49</v>
      </c>
      <c r="K28" s="16">
        <v>1179.02</v>
      </c>
      <c r="L28">
        <f t="shared" si="11"/>
        <v>1.17902</v>
      </c>
      <c r="M28" s="15">
        <f t="shared" si="12"/>
        <v>0.41559939610863261</v>
      </c>
      <c r="N28" s="13" t="s">
        <v>17</v>
      </c>
      <c r="O28" t="s">
        <v>13</v>
      </c>
      <c r="P28" s="16">
        <v>0.44</v>
      </c>
      <c r="Q28" s="16">
        <v>1572.03</v>
      </c>
      <c r="R28">
        <f t="shared" si="13"/>
        <v>1.57203</v>
      </c>
      <c r="S28" s="15">
        <f t="shared" si="14"/>
        <v>0.27989287736239132</v>
      </c>
      <c r="T28" s="13" t="s">
        <v>19</v>
      </c>
      <c r="U28" t="s">
        <v>13</v>
      </c>
      <c r="V28" s="14">
        <v>0.42</v>
      </c>
      <c r="W28" s="14">
        <v>1771.53</v>
      </c>
      <c r="X28">
        <f t="shared" si="15"/>
        <v>1.77153</v>
      </c>
      <c r="Y28" s="15">
        <f t="shared" si="10"/>
        <v>0.23708319926842897</v>
      </c>
      <c r="Z28" s="13" t="s">
        <v>21</v>
      </c>
      <c r="AA28" t="s">
        <v>13</v>
      </c>
      <c r="AB28" s="16">
        <v>0.24</v>
      </c>
      <c r="AC28" s="16">
        <v>1375.52</v>
      </c>
      <c r="AD28">
        <f t="shared" ref="AD28:AD49" si="18">AC28/1000</f>
        <v>1.3755200000000001</v>
      </c>
      <c r="AE28" s="15">
        <f t="shared" ref="AE28:AE49" si="19">AB28/AD28</f>
        <v>0.17447946958241245</v>
      </c>
    </row>
    <row r="29" spans="1:31" x14ac:dyDescent="0.25">
      <c r="B29" s="13" t="s">
        <v>12</v>
      </c>
      <c r="C29" t="s">
        <v>13</v>
      </c>
      <c r="D29" s="16">
        <v>0.56000000000000005</v>
      </c>
      <c r="E29" s="16">
        <v>3144.06</v>
      </c>
      <c r="F29">
        <f t="shared" si="16"/>
        <v>3.1440600000000001</v>
      </c>
      <c r="G29" s="15">
        <f t="shared" si="17"/>
        <v>0.17811364923061265</v>
      </c>
      <c r="H29" s="13" t="s">
        <v>15</v>
      </c>
      <c r="I29" t="s">
        <v>13</v>
      </c>
      <c r="J29" s="16">
        <v>0.64</v>
      </c>
      <c r="K29" s="16">
        <v>2161.54</v>
      </c>
      <c r="L29">
        <f t="shared" si="11"/>
        <v>2.16154</v>
      </c>
      <c r="M29" s="15">
        <f t="shared" si="12"/>
        <v>0.29608519851587295</v>
      </c>
      <c r="N29" s="13" t="s">
        <v>17</v>
      </c>
      <c r="O29" t="s">
        <v>13</v>
      </c>
      <c r="P29" s="16">
        <v>0.25</v>
      </c>
      <c r="Q29" s="16">
        <v>982.52</v>
      </c>
      <c r="R29">
        <f t="shared" si="13"/>
        <v>0.98251999999999995</v>
      </c>
      <c r="S29" s="15">
        <f t="shared" si="14"/>
        <v>0.25444774661075603</v>
      </c>
      <c r="T29" s="13" t="s">
        <v>19</v>
      </c>
      <c r="U29" t="s">
        <v>13</v>
      </c>
      <c r="V29" s="16">
        <v>0.91</v>
      </c>
      <c r="W29" s="16">
        <v>2161.54</v>
      </c>
      <c r="X29">
        <f t="shared" si="15"/>
        <v>2.16154</v>
      </c>
      <c r="Y29" s="15">
        <f t="shared" si="10"/>
        <v>0.42099614163975685</v>
      </c>
      <c r="Z29" s="13" t="s">
        <v>21</v>
      </c>
      <c r="AA29" t="s">
        <v>13</v>
      </c>
      <c r="AB29" s="16">
        <v>0.17</v>
      </c>
      <c r="AC29" s="16">
        <v>589.51</v>
      </c>
      <c r="AD29">
        <f t="shared" si="18"/>
        <v>0.58950999999999998</v>
      </c>
      <c r="AE29" s="15">
        <f t="shared" si="19"/>
        <v>0.28837509117741855</v>
      </c>
    </row>
    <row r="30" spans="1:31" x14ac:dyDescent="0.25">
      <c r="B30" s="13" t="s">
        <v>12</v>
      </c>
      <c r="C30" t="s">
        <v>13</v>
      </c>
      <c r="D30" s="16">
        <v>0.5</v>
      </c>
      <c r="E30" s="16">
        <v>2751.05</v>
      </c>
      <c r="F30">
        <f t="shared" si="16"/>
        <v>2.7510500000000002</v>
      </c>
      <c r="G30" s="15">
        <f t="shared" si="17"/>
        <v>0.18174878682684792</v>
      </c>
      <c r="H30" s="13" t="s">
        <v>15</v>
      </c>
      <c r="I30" t="s">
        <v>13</v>
      </c>
      <c r="J30" s="14">
        <v>0.78</v>
      </c>
      <c r="K30" s="14">
        <v>1765.53</v>
      </c>
      <c r="L30">
        <f t="shared" si="11"/>
        <v>1.76553</v>
      </c>
      <c r="M30" s="15">
        <f t="shared" si="12"/>
        <v>0.44179368235034239</v>
      </c>
      <c r="N30" s="13" t="s">
        <v>17</v>
      </c>
      <c r="O30" t="s">
        <v>13</v>
      </c>
      <c r="P30" s="14" t="s">
        <v>26</v>
      </c>
      <c r="Q30" s="14" t="s">
        <v>26</v>
      </c>
      <c r="R30" s="14" t="s">
        <v>26</v>
      </c>
      <c r="S30" s="18" t="s">
        <v>26</v>
      </c>
      <c r="T30" s="13" t="s">
        <v>19</v>
      </c>
      <c r="U30" t="s">
        <v>13</v>
      </c>
      <c r="V30" s="16">
        <v>0.48</v>
      </c>
      <c r="W30" s="16">
        <v>1375.52</v>
      </c>
      <c r="X30">
        <f t="shared" si="15"/>
        <v>1.3755200000000001</v>
      </c>
      <c r="Y30" s="15">
        <f t="shared" si="10"/>
        <v>0.3489589391648249</v>
      </c>
      <c r="Z30" s="13" t="s">
        <v>21</v>
      </c>
      <c r="AA30" t="s">
        <v>13</v>
      </c>
      <c r="AB30" s="16">
        <v>0.17</v>
      </c>
      <c r="AC30" s="16">
        <v>1179.02</v>
      </c>
      <c r="AD30">
        <f t="shared" si="18"/>
        <v>1.17902</v>
      </c>
      <c r="AE30" s="15">
        <f t="shared" si="19"/>
        <v>0.14418754558870928</v>
      </c>
    </row>
    <row r="31" spans="1:31" x14ac:dyDescent="0.25">
      <c r="B31" s="13" t="s">
        <v>12</v>
      </c>
      <c r="C31" t="s">
        <v>13</v>
      </c>
      <c r="D31" s="14">
        <v>0.76</v>
      </c>
      <c r="E31" s="14">
        <v>1829.53</v>
      </c>
      <c r="F31">
        <f t="shared" si="16"/>
        <v>1.8295299999999999</v>
      </c>
      <c r="G31" s="15">
        <f t="shared" si="17"/>
        <v>0.41540723573814042</v>
      </c>
      <c r="H31" s="13" t="s">
        <v>15</v>
      </c>
      <c r="I31" t="s">
        <v>13</v>
      </c>
      <c r="J31" s="16">
        <v>1.23</v>
      </c>
      <c r="K31" s="16">
        <v>2751.05</v>
      </c>
      <c r="L31">
        <f t="shared" si="11"/>
        <v>2.7510500000000002</v>
      </c>
      <c r="M31" s="15">
        <f t="shared" si="12"/>
        <v>0.44710201559404589</v>
      </c>
      <c r="N31" s="13" t="s">
        <v>17</v>
      </c>
      <c r="O31" t="s">
        <v>13</v>
      </c>
      <c r="P31" s="16">
        <v>0.28000000000000003</v>
      </c>
      <c r="Q31" s="16">
        <v>1375.52</v>
      </c>
      <c r="R31">
        <f t="shared" si="13"/>
        <v>1.3755200000000001</v>
      </c>
      <c r="S31" s="15">
        <f t="shared" si="14"/>
        <v>0.20355938117948122</v>
      </c>
      <c r="T31" s="13" t="s">
        <v>19</v>
      </c>
      <c r="U31" t="s">
        <v>13</v>
      </c>
      <c r="V31" s="16">
        <v>0.38</v>
      </c>
      <c r="W31" s="16">
        <v>1375.52</v>
      </c>
      <c r="X31">
        <f t="shared" si="15"/>
        <v>1.3755200000000001</v>
      </c>
      <c r="Y31" s="15">
        <f t="shared" si="10"/>
        <v>0.27625916017215307</v>
      </c>
      <c r="Z31" s="13" t="s">
        <v>21</v>
      </c>
      <c r="AA31" t="s">
        <v>13</v>
      </c>
      <c r="AB31" s="16">
        <v>0.09</v>
      </c>
      <c r="AC31" s="16">
        <v>786.01</v>
      </c>
      <c r="AD31">
        <f t="shared" si="18"/>
        <v>0.78600999999999999</v>
      </c>
      <c r="AE31" s="15">
        <f t="shared" si="19"/>
        <v>0.11450236002086488</v>
      </c>
    </row>
    <row r="32" spans="1:31" x14ac:dyDescent="0.25">
      <c r="B32" s="13" t="s">
        <v>12</v>
      </c>
      <c r="C32" t="s">
        <v>13</v>
      </c>
      <c r="D32" s="16">
        <v>0.22</v>
      </c>
      <c r="E32" s="16">
        <v>1965.03</v>
      </c>
      <c r="F32">
        <f t="shared" si="16"/>
        <v>1.9650300000000001</v>
      </c>
      <c r="G32" s="15">
        <f t="shared" si="17"/>
        <v>0.11195757825580271</v>
      </c>
      <c r="H32" s="13" t="s">
        <v>15</v>
      </c>
      <c r="I32" t="s">
        <v>13</v>
      </c>
      <c r="J32" s="14">
        <v>1.39</v>
      </c>
      <c r="K32" s="14">
        <v>2393.0100000000002</v>
      </c>
      <c r="L32">
        <f t="shared" si="11"/>
        <v>2.3930100000000003</v>
      </c>
      <c r="M32" s="15">
        <f t="shared" si="12"/>
        <v>0.5808584168056129</v>
      </c>
      <c r="N32" s="13" t="s">
        <v>17</v>
      </c>
      <c r="O32" t="s">
        <v>13</v>
      </c>
      <c r="P32" s="14">
        <v>0.68</v>
      </c>
      <c r="Q32" s="14">
        <v>1600</v>
      </c>
      <c r="R32">
        <f t="shared" si="13"/>
        <v>1.6</v>
      </c>
      <c r="S32" s="15">
        <f t="shared" si="14"/>
        <v>0.42499999999999999</v>
      </c>
      <c r="T32" s="13" t="s">
        <v>19</v>
      </c>
      <c r="U32" t="s">
        <v>13</v>
      </c>
      <c r="V32" s="14" t="s">
        <v>26</v>
      </c>
      <c r="W32" s="14" t="s">
        <v>26</v>
      </c>
      <c r="X32" s="14" t="s">
        <v>26</v>
      </c>
      <c r="Y32" s="18" t="s">
        <v>26</v>
      </c>
      <c r="Z32" s="13" t="s">
        <v>21</v>
      </c>
      <c r="AA32" t="s">
        <v>13</v>
      </c>
      <c r="AB32" s="16">
        <v>0.44</v>
      </c>
      <c r="AC32" s="16">
        <v>1179.02</v>
      </c>
      <c r="AD32">
        <f t="shared" si="18"/>
        <v>1.17902</v>
      </c>
      <c r="AE32" s="15">
        <f t="shared" si="19"/>
        <v>0.37319129446489457</v>
      </c>
    </row>
    <row r="33" spans="1:31" x14ac:dyDescent="0.25">
      <c r="B33" s="13" t="s">
        <v>12</v>
      </c>
      <c r="C33" t="s">
        <v>13</v>
      </c>
      <c r="D33" s="14" t="s">
        <v>26</v>
      </c>
      <c r="E33" s="14" t="s">
        <v>26</v>
      </c>
      <c r="F33" s="14" t="s">
        <v>26</v>
      </c>
      <c r="G33" s="18" t="s">
        <v>26</v>
      </c>
      <c r="H33" s="13" t="s">
        <v>15</v>
      </c>
      <c r="I33" t="s">
        <v>13</v>
      </c>
      <c r="J33" s="16">
        <v>1</v>
      </c>
      <c r="K33" s="16">
        <v>2554.5500000000002</v>
      </c>
      <c r="L33">
        <f t="shared" si="11"/>
        <v>2.5545500000000003</v>
      </c>
      <c r="M33" s="15">
        <f t="shared" si="12"/>
        <v>0.3914583781879391</v>
      </c>
      <c r="N33" s="13" t="s">
        <v>17</v>
      </c>
      <c r="O33" t="s">
        <v>13</v>
      </c>
      <c r="P33" s="14" t="s">
        <v>26</v>
      </c>
      <c r="Q33" s="14" t="s">
        <v>26</v>
      </c>
      <c r="R33" s="14" t="s">
        <v>26</v>
      </c>
      <c r="S33" s="18" t="s">
        <v>26</v>
      </c>
      <c r="T33" s="13" t="s">
        <v>19</v>
      </c>
      <c r="U33" t="s">
        <v>13</v>
      </c>
      <c r="V33" s="16">
        <v>0.4</v>
      </c>
      <c r="W33" s="16">
        <v>1768.53</v>
      </c>
      <c r="X33">
        <f t="shared" si="15"/>
        <v>1.7685299999999999</v>
      </c>
      <c r="Y33" s="15">
        <f t="shared" si="10"/>
        <v>0.22617654209993612</v>
      </c>
      <c r="Z33" s="13" t="s">
        <v>21</v>
      </c>
      <c r="AA33" t="s">
        <v>13</v>
      </c>
      <c r="AB33" s="14" t="s">
        <v>26</v>
      </c>
      <c r="AC33" s="14" t="s">
        <v>26</v>
      </c>
      <c r="AD33" s="14" t="s">
        <v>26</v>
      </c>
      <c r="AE33" s="18" t="s">
        <v>26</v>
      </c>
    </row>
    <row r="34" spans="1:31" x14ac:dyDescent="0.25">
      <c r="B34" s="13" t="s">
        <v>12</v>
      </c>
      <c r="C34" t="s">
        <v>13</v>
      </c>
      <c r="D34" s="16">
        <v>0.11</v>
      </c>
      <c r="E34" s="16">
        <v>1375.52</v>
      </c>
      <c r="F34">
        <f t="shared" si="16"/>
        <v>1.3755200000000001</v>
      </c>
      <c r="G34" s="15">
        <f t="shared" si="17"/>
        <v>7.9969756891939039E-2</v>
      </c>
      <c r="H34" s="13" t="s">
        <v>15</v>
      </c>
      <c r="I34" t="s">
        <v>13</v>
      </c>
      <c r="J34" s="14">
        <v>0.4</v>
      </c>
      <c r="K34" s="14">
        <v>1611.03</v>
      </c>
      <c r="L34">
        <f t="shared" si="11"/>
        <v>1.61103</v>
      </c>
      <c r="M34" s="15">
        <f t="shared" si="12"/>
        <v>0.2482883621037473</v>
      </c>
      <c r="N34" s="13" t="s">
        <v>17</v>
      </c>
      <c r="O34" t="s">
        <v>13</v>
      </c>
      <c r="P34" s="16">
        <v>0.25</v>
      </c>
      <c r="Q34" s="16">
        <v>982.52</v>
      </c>
      <c r="R34">
        <f t="shared" si="13"/>
        <v>0.98251999999999995</v>
      </c>
      <c r="S34" s="15">
        <f t="shared" si="14"/>
        <v>0.25444774661075603</v>
      </c>
      <c r="T34" s="13" t="s">
        <v>19</v>
      </c>
      <c r="U34" t="s">
        <v>13</v>
      </c>
      <c r="V34" s="16">
        <v>0.28999999999999998</v>
      </c>
      <c r="W34" s="16">
        <v>1572.03</v>
      </c>
      <c r="X34">
        <f t="shared" si="15"/>
        <v>1.57203</v>
      </c>
      <c r="Y34" s="15">
        <f t="shared" si="10"/>
        <v>0.1844748509888488</v>
      </c>
      <c r="Z34" s="13" t="s">
        <v>21</v>
      </c>
      <c r="AA34" t="s">
        <v>13</v>
      </c>
      <c r="AB34" s="16">
        <v>0.18</v>
      </c>
      <c r="AC34" s="16">
        <v>982.52</v>
      </c>
      <c r="AD34">
        <f t="shared" si="18"/>
        <v>0.98251999999999995</v>
      </c>
      <c r="AE34" s="15">
        <f t="shared" si="19"/>
        <v>0.18320237755974433</v>
      </c>
    </row>
    <row r="35" spans="1:31" x14ac:dyDescent="0.25">
      <c r="B35" s="13" t="s">
        <v>12</v>
      </c>
      <c r="C35" t="s">
        <v>13</v>
      </c>
      <c r="D35" s="16">
        <v>0.13</v>
      </c>
      <c r="E35" s="16">
        <v>589.51</v>
      </c>
      <c r="F35">
        <f t="shared" si="16"/>
        <v>0.58950999999999998</v>
      </c>
      <c r="G35" s="15">
        <f t="shared" si="17"/>
        <v>0.22052212854743772</v>
      </c>
      <c r="H35" s="13" t="s">
        <v>15</v>
      </c>
      <c r="I35" t="s">
        <v>13</v>
      </c>
      <c r="J35" s="14">
        <v>0.62</v>
      </c>
      <c r="K35" s="14">
        <v>1789.53</v>
      </c>
      <c r="L35">
        <f t="shared" si="11"/>
        <v>1.7895300000000001</v>
      </c>
      <c r="M35" s="15">
        <f t="shared" si="12"/>
        <v>0.34645968494520907</v>
      </c>
      <c r="N35" s="13" t="s">
        <v>17</v>
      </c>
      <c r="O35" t="s">
        <v>13</v>
      </c>
      <c r="P35" s="16">
        <v>0.36</v>
      </c>
      <c r="Q35" s="16">
        <v>786.01</v>
      </c>
      <c r="R35">
        <f t="shared" si="13"/>
        <v>0.78600999999999999</v>
      </c>
      <c r="S35" s="15">
        <f t="shared" si="14"/>
        <v>0.45800944008345951</v>
      </c>
      <c r="T35" s="13" t="s">
        <v>19</v>
      </c>
      <c r="U35" t="s">
        <v>13</v>
      </c>
      <c r="V35" s="16">
        <v>0.5</v>
      </c>
      <c r="W35" s="16">
        <v>2161.54</v>
      </c>
      <c r="X35">
        <f t="shared" si="15"/>
        <v>2.16154</v>
      </c>
      <c r="Y35" s="15">
        <f t="shared" si="10"/>
        <v>0.23131656134052572</v>
      </c>
      <c r="Z35" s="13" t="s">
        <v>21</v>
      </c>
      <c r="AA35" t="s">
        <v>13</v>
      </c>
      <c r="AB35" s="16">
        <v>0.09</v>
      </c>
      <c r="AC35" s="16">
        <v>786.01</v>
      </c>
      <c r="AD35">
        <f t="shared" si="18"/>
        <v>0.78600999999999999</v>
      </c>
      <c r="AE35" s="15">
        <f t="shared" si="19"/>
        <v>0.11450236002086488</v>
      </c>
    </row>
    <row r="36" spans="1:31" x14ac:dyDescent="0.25">
      <c r="A36" s="5"/>
      <c r="B36" s="13" t="s">
        <v>12</v>
      </c>
      <c r="C36" t="s">
        <v>13</v>
      </c>
      <c r="D36" s="14" t="s">
        <v>26</v>
      </c>
      <c r="E36" s="14" t="s">
        <v>26</v>
      </c>
      <c r="F36" s="14" t="s">
        <v>26</v>
      </c>
      <c r="G36" s="18" t="s">
        <v>26</v>
      </c>
      <c r="H36" s="13" t="s">
        <v>15</v>
      </c>
      <c r="I36" t="s">
        <v>13</v>
      </c>
      <c r="J36" s="14">
        <v>1.24</v>
      </c>
      <c r="K36" s="14">
        <v>2161.54</v>
      </c>
      <c r="L36">
        <f t="shared" si="11"/>
        <v>2.16154</v>
      </c>
      <c r="M36" s="15">
        <f t="shared" si="12"/>
        <v>0.57366507212450379</v>
      </c>
      <c r="N36" s="13" t="s">
        <v>17</v>
      </c>
      <c r="O36" t="s">
        <v>13</v>
      </c>
      <c r="P36" s="16">
        <v>0.93</v>
      </c>
      <c r="Q36" s="16">
        <v>1768.53</v>
      </c>
      <c r="R36">
        <f t="shared" si="13"/>
        <v>1.7685299999999999</v>
      </c>
      <c r="S36" s="15">
        <f t="shared" si="14"/>
        <v>0.52586046038235146</v>
      </c>
      <c r="T36" s="13" t="s">
        <v>19</v>
      </c>
      <c r="U36" t="s">
        <v>13</v>
      </c>
      <c r="V36" s="16">
        <v>1.22</v>
      </c>
      <c r="W36" s="16">
        <v>2751.05</v>
      </c>
      <c r="X36">
        <f t="shared" si="15"/>
        <v>2.7510500000000002</v>
      </c>
      <c r="Y36" s="15">
        <f t="shared" si="10"/>
        <v>0.4434670398575089</v>
      </c>
      <c r="Z36" s="13" t="s">
        <v>21</v>
      </c>
      <c r="AA36" t="s">
        <v>13</v>
      </c>
      <c r="AB36" s="14" t="s">
        <v>26</v>
      </c>
      <c r="AC36" s="14" t="s">
        <v>26</v>
      </c>
      <c r="AD36" s="14" t="s">
        <v>26</v>
      </c>
      <c r="AE36" s="18" t="s">
        <v>26</v>
      </c>
    </row>
    <row r="37" spans="1:31" x14ac:dyDescent="0.25">
      <c r="B37" s="13" t="s">
        <v>12</v>
      </c>
      <c r="C37" t="s">
        <v>13</v>
      </c>
      <c r="D37" s="14">
        <v>1.66</v>
      </c>
      <c r="E37" s="14">
        <v>2946.55</v>
      </c>
      <c r="F37">
        <f t="shared" si="16"/>
        <v>2.9465500000000002</v>
      </c>
      <c r="G37" s="15">
        <f t="shared" si="17"/>
        <v>0.56337072169146962</v>
      </c>
      <c r="H37" s="13" t="s">
        <v>15</v>
      </c>
      <c r="I37" t="s">
        <v>13</v>
      </c>
      <c r="J37" s="16">
        <v>0.96</v>
      </c>
      <c r="K37" s="16">
        <v>1375.52</v>
      </c>
      <c r="L37">
        <f t="shared" si="11"/>
        <v>1.3755200000000001</v>
      </c>
      <c r="M37" s="15">
        <f t="shared" si="12"/>
        <v>0.6979178783296498</v>
      </c>
      <c r="N37" s="13" t="s">
        <v>17</v>
      </c>
      <c r="O37" t="s">
        <v>13</v>
      </c>
      <c r="P37" s="16">
        <v>1.03</v>
      </c>
      <c r="Q37" s="16">
        <v>1572.03</v>
      </c>
      <c r="R37">
        <f t="shared" si="13"/>
        <v>1.57203</v>
      </c>
      <c r="S37" s="15">
        <f t="shared" si="14"/>
        <v>0.65520378109832511</v>
      </c>
      <c r="T37" s="13" t="s">
        <v>19</v>
      </c>
      <c r="U37" t="s">
        <v>13</v>
      </c>
      <c r="V37" s="16">
        <v>0.55000000000000004</v>
      </c>
      <c r="W37" s="16">
        <v>1179.02</v>
      </c>
      <c r="X37">
        <f t="shared" si="15"/>
        <v>1.17902</v>
      </c>
      <c r="Y37" s="15">
        <f t="shared" si="10"/>
        <v>0.46648911808111826</v>
      </c>
      <c r="Z37" s="13" t="s">
        <v>21</v>
      </c>
      <c r="AA37" t="s">
        <v>13</v>
      </c>
      <c r="AB37" s="16">
        <v>0.45</v>
      </c>
      <c r="AC37" s="16">
        <v>982.52</v>
      </c>
      <c r="AD37">
        <f t="shared" si="18"/>
        <v>0.98251999999999995</v>
      </c>
      <c r="AE37" s="15">
        <f t="shared" si="19"/>
        <v>0.45800594389936089</v>
      </c>
    </row>
    <row r="38" spans="1:31" x14ac:dyDescent="0.25">
      <c r="B38" s="13" t="s">
        <v>12</v>
      </c>
      <c r="C38" t="s">
        <v>31</v>
      </c>
      <c r="D38" s="14">
        <v>0.27</v>
      </c>
      <c r="E38" s="14">
        <v>1572.03</v>
      </c>
      <c r="F38">
        <f t="shared" si="16"/>
        <v>1.57203</v>
      </c>
      <c r="G38" s="15">
        <f t="shared" si="17"/>
        <v>0.1717524474723765</v>
      </c>
      <c r="H38" s="13" t="s">
        <v>15</v>
      </c>
      <c r="I38" t="s">
        <v>31</v>
      </c>
      <c r="J38" s="14">
        <v>0.6</v>
      </c>
      <c r="K38" s="14">
        <v>1979.03</v>
      </c>
      <c r="L38">
        <f t="shared" si="11"/>
        <v>1.9790300000000001</v>
      </c>
      <c r="M38" s="15">
        <f t="shared" si="12"/>
        <v>0.30317883003289486</v>
      </c>
      <c r="N38" s="13" t="s">
        <v>17</v>
      </c>
      <c r="O38" t="s">
        <v>31</v>
      </c>
      <c r="P38" s="16">
        <v>0.78</v>
      </c>
      <c r="Q38" s="16">
        <v>2161.54</v>
      </c>
      <c r="R38">
        <f t="shared" si="13"/>
        <v>2.16154</v>
      </c>
      <c r="S38" s="15">
        <f t="shared" si="14"/>
        <v>0.36085383569122015</v>
      </c>
      <c r="T38" s="13" t="s">
        <v>19</v>
      </c>
      <c r="U38" t="s">
        <v>31</v>
      </c>
      <c r="V38" s="16">
        <v>0.53</v>
      </c>
      <c r="W38" s="16">
        <v>1768.53</v>
      </c>
      <c r="X38">
        <f t="shared" si="15"/>
        <v>1.7685299999999999</v>
      </c>
      <c r="Y38" s="15">
        <f t="shared" si="10"/>
        <v>0.29968391828241536</v>
      </c>
      <c r="Z38" s="13" t="s">
        <v>21</v>
      </c>
      <c r="AA38" t="s">
        <v>31</v>
      </c>
      <c r="AB38" s="16">
        <v>0.12</v>
      </c>
      <c r="AC38" s="16">
        <v>982.52</v>
      </c>
      <c r="AD38">
        <f t="shared" si="18"/>
        <v>0.98251999999999995</v>
      </c>
      <c r="AE38" s="15">
        <f t="shared" si="19"/>
        <v>0.12213491837316288</v>
      </c>
    </row>
    <row r="39" spans="1:31" x14ac:dyDescent="0.25">
      <c r="B39" s="13" t="s">
        <v>12</v>
      </c>
      <c r="C39" t="s">
        <v>31</v>
      </c>
      <c r="D39" s="14" t="s">
        <v>26</v>
      </c>
      <c r="E39" s="14" t="s">
        <v>26</v>
      </c>
      <c r="F39" s="14" t="s">
        <v>26</v>
      </c>
      <c r="G39" s="18" t="s">
        <v>26</v>
      </c>
      <c r="H39" s="13" t="s">
        <v>15</v>
      </c>
      <c r="I39" t="s">
        <v>31</v>
      </c>
      <c r="J39" s="14">
        <v>0.61</v>
      </c>
      <c r="K39" s="14">
        <v>1560.03</v>
      </c>
      <c r="L39">
        <f t="shared" si="11"/>
        <v>1.56003</v>
      </c>
      <c r="M39" s="15">
        <f t="shared" si="12"/>
        <v>0.39101812144638243</v>
      </c>
      <c r="N39" s="13" t="s">
        <v>17</v>
      </c>
      <c r="O39" t="s">
        <v>31</v>
      </c>
      <c r="P39" s="16">
        <v>0.3</v>
      </c>
      <c r="Q39" s="16">
        <v>1179.02</v>
      </c>
      <c r="R39">
        <f t="shared" si="13"/>
        <v>1.17902</v>
      </c>
      <c r="S39" s="15">
        <f t="shared" si="14"/>
        <v>0.25444860986242812</v>
      </c>
      <c r="T39" s="13" t="s">
        <v>19</v>
      </c>
      <c r="U39" t="s">
        <v>31</v>
      </c>
      <c r="V39" s="16">
        <v>0.09</v>
      </c>
      <c r="W39" s="16">
        <v>1572.03</v>
      </c>
      <c r="X39">
        <f t="shared" si="15"/>
        <v>1.57203</v>
      </c>
      <c r="Y39" s="15">
        <f t="shared" si="10"/>
        <v>5.7250815824125494E-2</v>
      </c>
      <c r="Z39" s="13" t="s">
        <v>21</v>
      </c>
      <c r="AA39" t="s">
        <v>31</v>
      </c>
      <c r="AB39" s="14">
        <v>0.17</v>
      </c>
      <c r="AC39" s="14">
        <v>1187.02</v>
      </c>
      <c r="AD39">
        <f t="shared" si="18"/>
        <v>1.18702</v>
      </c>
      <c r="AE39" s="15">
        <f t="shared" si="19"/>
        <v>0.14321578406429547</v>
      </c>
    </row>
    <row r="40" spans="1:31" x14ac:dyDescent="0.25">
      <c r="B40" s="13" t="s">
        <v>12</v>
      </c>
      <c r="C40" t="s">
        <v>31</v>
      </c>
      <c r="D40" s="16">
        <v>0.28000000000000003</v>
      </c>
      <c r="E40" s="16">
        <v>4323.08</v>
      </c>
      <c r="F40">
        <f t="shared" si="16"/>
        <v>4.32308</v>
      </c>
      <c r="G40" s="15">
        <f t="shared" si="17"/>
        <v>6.4768637175347213E-2</v>
      </c>
      <c r="H40" s="13" t="s">
        <v>15</v>
      </c>
      <c r="I40" t="s">
        <v>31</v>
      </c>
      <c r="J40" s="14">
        <v>0.84</v>
      </c>
      <c r="K40" s="14">
        <v>3924.07</v>
      </c>
      <c r="L40">
        <f t="shared" si="11"/>
        <v>3.9240699999999999</v>
      </c>
      <c r="M40" s="15">
        <f t="shared" si="12"/>
        <v>0.21406345962227993</v>
      </c>
      <c r="N40" s="13" t="s">
        <v>17</v>
      </c>
      <c r="O40" t="s">
        <v>31</v>
      </c>
      <c r="P40" s="14">
        <v>0.4</v>
      </c>
      <c r="Q40" s="14">
        <v>1375.52</v>
      </c>
      <c r="R40">
        <f t="shared" si="13"/>
        <v>1.3755200000000001</v>
      </c>
      <c r="S40" s="15">
        <f t="shared" si="14"/>
        <v>0.29079911597068747</v>
      </c>
      <c r="T40" s="13" t="s">
        <v>19</v>
      </c>
      <c r="U40" t="s">
        <v>31</v>
      </c>
      <c r="V40" s="14">
        <v>0.35</v>
      </c>
      <c r="W40" s="14">
        <v>1375.52</v>
      </c>
      <c r="X40">
        <f t="shared" si="15"/>
        <v>1.3755200000000001</v>
      </c>
      <c r="Y40" s="15">
        <f t="shared" si="10"/>
        <v>0.25444922647435148</v>
      </c>
      <c r="Z40" s="13" t="s">
        <v>21</v>
      </c>
      <c r="AA40" t="s">
        <v>31</v>
      </c>
      <c r="AB40" s="14" t="s">
        <v>26</v>
      </c>
      <c r="AC40" s="14" t="s">
        <v>26</v>
      </c>
      <c r="AD40" s="14" t="s">
        <v>26</v>
      </c>
      <c r="AE40" s="18" t="s">
        <v>26</v>
      </c>
    </row>
    <row r="41" spans="1:31" x14ac:dyDescent="0.25">
      <c r="B41" s="13" t="s">
        <v>12</v>
      </c>
      <c r="C41" t="s">
        <v>31</v>
      </c>
      <c r="D41" s="16">
        <v>0.52</v>
      </c>
      <c r="E41" s="16">
        <v>2554.5500000000002</v>
      </c>
      <c r="F41">
        <f t="shared" si="16"/>
        <v>2.5545500000000003</v>
      </c>
      <c r="G41" s="15">
        <f t="shared" si="17"/>
        <v>0.20355835665772834</v>
      </c>
      <c r="H41" s="13" t="s">
        <v>15</v>
      </c>
      <c r="I41" t="s">
        <v>31</v>
      </c>
      <c r="J41" s="14" t="s">
        <v>26</v>
      </c>
      <c r="K41" s="14" t="s">
        <v>26</v>
      </c>
      <c r="L41" s="14" t="s">
        <v>26</v>
      </c>
      <c r="M41" s="18" t="s">
        <v>26</v>
      </c>
      <c r="N41" s="13" t="s">
        <v>17</v>
      </c>
      <c r="O41" t="s">
        <v>31</v>
      </c>
      <c r="P41" s="16">
        <v>0.75</v>
      </c>
      <c r="Q41" s="16">
        <v>1965.03</v>
      </c>
      <c r="R41">
        <f t="shared" si="13"/>
        <v>1.9650300000000001</v>
      </c>
      <c r="S41" s="15">
        <f t="shared" si="14"/>
        <v>0.38167356223569104</v>
      </c>
      <c r="T41" s="13" t="s">
        <v>19</v>
      </c>
      <c r="U41" t="s">
        <v>31</v>
      </c>
      <c r="V41" s="16">
        <v>0.18</v>
      </c>
      <c r="W41" s="16">
        <v>1375.52</v>
      </c>
      <c r="X41">
        <f t="shared" si="15"/>
        <v>1.3755200000000001</v>
      </c>
      <c r="Y41" s="15">
        <f t="shared" si="10"/>
        <v>0.13085960218680934</v>
      </c>
      <c r="Z41" s="13" t="s">
        <v>21</v>
      </c>
      <c r="AA41" t="s">
        <v>31</v>
      </c>
      <c r="AB41" s="14" t="s">
        <v>26</v>
      </c>
      <c r="AC41" s="14" t="s">
        <v>26</v>
      </c>
      <c r="AD41" s="14" t="s">
        <v>26</v>
      </c>
      <c r="AE41" s="18" t="s">
        <v>26</v>
      </c>
    </row>
    <row r="42" spans="1:31" x14ac:dyDescent="0.25">
      <c r="B42" s="13" t="s">
        <v>12</v>
      </c>
      <c r="C42" t="s">
        <v>31</v>
      </c>
      <c r="D42" s="14" t="s">
        <v>26</v>
      </c>
      <c r="E42" s="14" t="s">
        <v>26</v>
      </c>
      <c r="F42" s="14" t="s">
        <v>26</v>
      </c>
      <c r="G42" s="18" t="s">
        <v>26</v>
      </c>
      <c r="H42" s="13" t="s">
        <v>15</v>
      </c>
      <c r="I42" t="s">
        <v>31</v>
      </c>
      <c r="J42" s="14" t="s">
        <v>26</v>
      </c>
      <c r="K42" s="14" t="s">
        <v>26</v>
      </c>
      <c r="L42" s="14" t="s">
        <v>26</v>
      </c>
      <c r="M42" s="18" t="s">
        <v>26</v>
      </c>
      <c r="N42" s="13" t="s">
        <v>17</v>
      </c>
      <c r="O42" t="s">
        <v>31</v>
      </c>
      <c r="P42" s="14" t="s">
        <v>26</v>
      </c>
      <c r="Q42" s="14" t="s">
        <v>26</v>
      </c>
      <c r="R42" s="14" t="s">
        <v>26</v>
      </c>
      <c r="S42" s="18" t="s">
        <v>26</v>
      </c>
      <c r="T42" s="13" t="s">
        <v>19</v>
      </c>
      <c r="U42" t="s">
        <v>31</v>
      </c>
      <c r="V42" s="14" t="s">
        <v>26</v>
      </c>
      <c r="W42" s="14" t="s">
        <v>26</v>
      </c>
      <c r="X42" s="14" t="s">
        <v>26</v>
      </c>
      <c r="Y42" s="18" t="s">
        <v>26</v>
      </c>
      <c r="Z42" s="13" t="s">
        <v>21</v>
      </c>
      <c r="AA42" t="s">
        <v>31</v>
      </c>
      <c r="AB42" s="14" t="s">
        <v>26</v>
      </c>
      <c r="AC42" s="14" t="s">
        <v>26</v>
      </c>
      <c r="AD42" s="14" t="s">
        <v>26</v>
      </c>
      <c r="AE42" s="18" t="s">
        <v>26</v>
      </c>
    </row>
    <row r="43" spans="1:31" x14ac:dyDescent="0.25">
      <c r="B43" s="13" t="s">
        <v>12</v>
      </c>
      <c r="C43" t="s">
        <v>31</v>
      </c>
      <c r="D43" s="14">
        <v>0.96</v>
      </c>
      <c r="E43" s="14">
        <v>4161.54</v>
      </c>
      <c r="F43">
        <f t="shared" si="16"/>
        <v>4.1615399999999996</v>
      </c>
      <c r="G43" s="15">
        <f t="shared" si="17"/>
        <v>0.23068383338860135</v>
      </c>
      <c r="H43" s="13" t="s">
        <v>15</v>
      </c>
      <c r="I43" t="s">
        <v>31</v>
      </c>
      <c r="J43" s="16">
        <v>0.92</v>
      </c>
      <c r="K43" s="16">
        <v>2554.5500000000002</v>
      </c>
      <c r="L43">
        <f t="shared" si="11"/>
        <v>2.5545500000000003</v>
      </c>
      <c r="M43" s="15">
        <f t="shared" si="12"/>
        <v>0.36014170793290401</v>
      </c>
      <c r="N43" s="13" t="s">
        <v>17</v>
      </c>
      <c r="O43" t="s">
        <v>31</v>
      </c>
      <c r="P43" s="16">
        <v>1.17</v>
      </c>
      <c r="Q43" s="16">
        <v>2161.54</v>
      </c>
      <c r="R43">
        <f t="shared" si="13"/>
        <v>2.16154</v>
      </c>
      <c r="S43" s="15">
        <f t="shared" si="14"/>
        <v>0.54128075353683014</v>
      </c>
      <c r="T43" s="13" t="s">
        <v>19</v>
      </c>
      <c r="U43" t="s">
        <v>31</v>
      </c>
      <c r="V43" s="16">
        <v>0.36</v>
      </c>
      <c r="W43" s="16">
        <v>2161.54</v>
      </c>
      <c r="X43">
        <f t="shared" si="15"/>
        <v>2.16154</v>
      </c>
      <c r="Y43" s="15">
        <f t="shared" si="10"/>
        <v>0.16654792416517852</v>
      </c>
      <c r="Z43" s="13" t="s">
        <v>21</v>
      </c>
      <c r="AA43" t="s">
        <v>31</v>
      </c>
      <c r="AB43" s="16">
        <v>0.24</v>
      </c>
      <c r="AC43" s="16">
        <v>786.01</v>
      </c>
      <c r="AD43">
        <f t="shared" si="18"/>
        <v>0.78600999999999999</v>
      </c>
      <c r="AE43" s="15">
        <f t="shared" si="19"/>
        <v>0.3053396267223063</v>
      </c>
    </row>
    <row r="44" spans="1:31" x14ac:dyDescent="0.25">
      <c r="B44" s="13" t="s">
        <v>12</v>
      </c>
      <c r="C44" t="s">
        <v>31</v>
      </c>
      <c r="D44" s="16">
        <v>0.22</v>
      </c>
      <c r="E44" s="16">
        <v>1965.03</v>
      </c>
      <c r="F44">
        <f t="shared" si="16"/>
        <v>1.9650300000000001</v>
      </c>
      <c r="G44" s="15">
        <f t="shared" si="17"/>
        <v>0.11195757825580271</v>
      </c>
      <c r="H44" s="13" t="s">
        <v>15</v>
      </c>
      <c r="I44" t="s">
        <v>31</v>
      </c>
      <c r="J44" s="16">
        <v>0.37</v>
      </c>
      <c r="K44" s="16">
        <v>786.01</v>
      </c>
      <c r="L44">
        <f t="shared" si="11"/>
        <v>0.78600999999999999</v>
      </c>
      <c r="M44" s="15">
        <f t="shared" si="12"/>
        <v>0.47073192453022228</v>
      </c>
      <c r="N44" s="13" t="s">
        <v>17</v>
      </c>
      <c r="O44" t="s">
        <v>31</v>
      </c>
      <c r="P44" s="16">
        <v>0.74</v>
      </c>
      <c r="Q44" s="16">
        <v>2161.54</v>
      </c>
      <c r="R44">
        <f t="shared" si="13"/>
        <v>2.16154</v>
      </c>
      <c r="S44" s="15">
        <f t="shared" si="14"/>
        <v>0.3423485107839781</v>
      </c>
      <c r="T44" s="13" t="s">
        <v>19</v>
      </c>
      <c r="U44" t="s">
        <v>31</v>
      </c>
      <c r="V44" s="16">
        <v>0.68</v>
      </c>
      <c r="W44" s="16">
        <v>1179.02</v>
      </c>
      <c r="X44">
        <f t="shared" si="15"/>
        <v>1.17902</v>
      </c>
      <c r="Y44" s="15">
        <f t="shared" si="10"/>
        <v>0.5767501823548371</v>
      </c>
      <c r="Z44" s="13" t="s">
        <v>21</v>
      </c>
      <c r="AA44" t="s">
        <v>31</v>
      </c>
      <c r="AB44" s="16">
        <v>0.06</v>
      </c>
      <c r="AC44" s="16">
        <v>393.01</v>
      </c>
      <c r="AD44">
        <f t="shared" si="18"/>
        <v>0.39300999999999997</v>
      </c>
      <c r="AE44" s="15">
        <f t="shared" si="19"/>
        <v>0.15266787104653826</v>
      </c>
    </row>
    <row r="45" spans="1:31" x14ac:dyDescent="0.25">
      <c r="B45" s="13" t="s">
        <v>12</v>
      </c>
      <c r="C45" t="s">
        <v>31</v>
      </c>
      <c r="D45" s="14" t="s">
        <v>26</v>
      </c>
      <c r="E45" s="14" t="s">
        <v>26</v>
      </c>
      <c r="F45" s="14" t="s">
        <v>26</v>
      </c>
      <c r="G45" s="18" t="s">
        <v>26</v>
      </c>
      <c r="H45" s="13" t="s">
        <v>15</v>
      </c>
      <c r="I45" t="s">
        <v>31</v>
      </c>
      <c r="J45" s="14" t="s">
        <v>26</v>
      </c>
      <c r="K45" s="14" t="s">
        <v>26</v>
      </c>
      <c r="L45" s="14" t="s">
        <v>26</v>
      </c>
      <c r="M45" s="18" t="s">
        <v>26</v>
      </c>
      <c r="N45" s="13" t="s">
        <v>17</v>
      </c>
      <c r="O45" t="s">
        <v>31</v>
      </c>
      <c r="P45" s="14" t="s">
        <v>26</v>
      </c>
      <c r="Q45" s="14" t="s">
        <v>26</v>
      </c>
      <c r="R45" s="14" t="s">
        <v>26</v>
      </c>
      <c r="S45" s="18" t="s">
        <v>26</v>
      </c>
      <c r="T45" s="13" t="s">
        <v>19</v>
      </c>
      <c r="U45" t="s">
        <v>31</v>
      </c>
      <c r="V45" s="14" t="s">
        <v>26</v>
      </c>
      <c r="W45" s="14" t="s">
        <v>26</v>
      </c>
      <c r="X45" s="14" t="s">
        <v>26</v>
      </c>
      <c r="Y45" s="18" t="s">
        <v>26</v>
      </c>
      <c r="Z45" s="13" t="s">
        <v>21</v>
      </c>
      <c r="AA45" t="s">
        <v>31</v>
      </c>
      <c r="AB45" s="14" t="s">
        <v>26</v>
      </c>
      <c r="AC45" s="14" t="s">
        <v>26</v>
      </c>
      <c r="AD45" s="14" t="s">
        <v>26</v>
      </c>
      <c r="AE45" s="18" t="s">
        <v>26</v>
      </c>
    </row>
    <row r="46" spans="1:31" x14ac:dyDescent="0.25">
      <c r="B46" s="13" t="s">
        <v>12</v>
      </c>
      <c r="C46" t="s">
        <v>31</v>
      </c>
      <c r="D46" s="16">
        <v>0.25</v>
      </c>
      <c r="E46" s="16">
        <v>2161.54</v>
      </c>
      <c r="F46">
        <f t="shared" si="16"/>
        <v>2.16154</v>
      </c>
      <c r="G46" s="15">
        <f t="shared" si="17"/>
        <v>0.11565828067026286</v>
      </c>
      <c r="H46" s="13" t="s">
        <v>15</v>
      </c>
      <c r="I46" t="s">
        <v>31</v>
      </c>
      <c r="J46" s="14">
        <v>0.74</v>
      </c>
      <c r="K46" s="14">
        <v>1974.03</v>
      </c>
      <c r="L46">
        <f t="shared" si="11"/>
        <v>1.97403</v>
      </c>
      <c r="M46" s="15">
        <f t="shared" si="12"/>
        <v>0.37486765651991105</v>
      </c>
      <c r="N46" s="13" t="s">
        <v>17</v>
      </c>
      <c r="O46" t="s">
        <v>31</v>
      </c>
      <c r="P46" s="16">
        <v>0.48</v>
      </c>
      <c r="Q46" s="16">
        <v>1965.03</v>
      </c>
      <c r="R46">
        <f t="shared" si="13"/>
        <v>1.9650300000000001</v>
      </c>
      <c r="S46" s="15">
        <f t="shared" si="14"/>
        <v>0.24427107983084226</v>
      </c>
      <c r="T46" s="13" t="s">
        <v>19</v>
      </c>
      <c r="U46" t="s">
        <v>31</v>
      </c>
      <c r="V46" s="14" t="s">
        <v>26</v>
      </c>
      <c r="W46" s="14" t="s">
        <v>26</v>
      </c>
      <c r="X46" s="14" t="s">
        <v>26</v>
      </c>
      <c r="Y46" s="18" t="s">
        <v>26</v>
      </c>
      <c r="Z46" s="13" t="s">
        <v>21</v>
      </c>
      <c r="AA46" t="s">
        <v>31</v>
      </c>
      <c r="AB46" s="14">
        <v>0.1</v>
      </c>
      <c r="AC46" s="14">
        <v>821.01</v>
      </c>
      <c r="AD46">
        <f t="shared" si="18"/>
        <v>0.82101000000000002</v>
      </c>
      <c r="AE46" s="15">
        <f t="shared" si="19"/>
        <v>0.12180119608774559</v>
      </c>
    </row>
    <row r="47" spans="1:31" x14ac:dyDescent="0.25">
      <c r="B47" s="13" t="s">
        <v>12</v>
      </c>
      <c r="C47" t="s">
        <v>31</v>
      </c>
      <c r="D47" s="14" t="s">
        <v>26</v>
      </c>
      <c r="E47" s="14" t="s">
        <v>26</v>
      </c>
      <c r="F47" s="14" t="s">
        <v>26</v>
      </c>
      <c r="G47" s="18" t="s">
        <v>26</v>
      </c>
      <c r="H47" s="13" t="s">
        <v>15</v>
      </c>
      <c r="I47" t="s">
        <v>31</v>
      </c>
      <c r="J47" s="14">
        <v>0.63</v>
      </c>
      <c r="K47" s="14">
        <v>2179.54</v>
      </c>
      <c r="L47">
        <f t="shared" si="11"/>
        <v>2.1795399999999998</v>
      </c>
      <c r="M47" s="15">
        <f t="shared" si="12"/>
        <v>0.28905181827358067</v>
      </c>
      <c r="N47" s="13" t="s">
        <v>17</v>
      </c>
      <c r="O47" t="s">
        <v>31</v>
      </c>
      <c r="P47" s="16">
        <v>0.22</v>
      </c>
      <c r="Q47" s="16">
        <v>982.52</v>
      </c>
      <c r="R47">
        <f t="shared" si="13"/>
        <v>0.98251999999999995</v>
      </c>
      <c r="S47" s="15">
        <f t="shared" si="14"/>
        <v>0.2239140170174653</v>
      </c>
      <c r="T47" s="13" t="s">
        <v>19</v>
      </c>
      <c r="U47" t="s">
        <v>31</v>
      </c>
      <c r="V47" s="16">
        <v>0.14000000000000001</v>
      </c>
      <c r="W47" s="16">
        <v>1179.02</v>
      </c>
      <c r="X47">
        <f t="shared" si="15"/>
        <v>1.17902</v>
      </c>
      <c r="Y47" s="15">
        <f t="shared" si="10"/>
        <v>0.11874268460246647</v>
      </c>
      <c r="Z47" s="13" t="s">
        <v>21</v>
      </c>
      <c r="AA47" t="s">
        <v>31</v>
      </c>
      <c r="AB47" s="16">
        <v>0.05</v>
      </c>
      <c r="AC47" s="16">
        <v>1572.03</v>
      </c>
      <c r="AD47">
        <f t="shared" si="18"/>
        <v>1.57203</v>
      </c>
      <c r="AE47" s="15">
        <f t="shared" si="19"/>
        <v>3.1806008791180833E-2</v>
      </c>
    </row>
    <row r="48" spans="1:31" x14ac:dyDescent="0.25">
      <c r="B48" s="13" t="s">
        <v>12</v>
      </c>
      <c r="C48" t="s">
        <v>31</v>
      </c>
      <c r="D48" s="16">
        <v>0.48</v>
      </c>
      <c r="E48" s="16">
        <v>1572.03</v>
      </c>
      <c r="F48">
        <f t="shared" si="16"/>
        <v>1.57203</v>
      </c>
      <c r="G48" s="15">
        <f t="shared" si="17"/>
        <v>0.30533768439533593</v>
      </c>
      <c r="H48" s="13" t="s">
        <v>15</v>
      </c>
      <c r="I48" t="s">
        <v>31</v>
      </c>
      <c r="J48" s="14">
        <v>0.96</v>
      </c>
      <c r="K48" s="14">
        <v>1442.52</v>
      </c>
      <c r="L48">
        <f t="shared" si="11"/>
        <v>1.44252</v>
      </c>
      <c r="M48" s="15">
        <f t="shared" si="12"/>
        <v>0.66550203809999164</v>
      </c>
      <c r="N48" s="13" t="s">
        <v>17</v>
      </c>
      <c r="O48" t="s">
        <v>31</v>
      </c>
      <c r="P48" s="16">
        <v>0.73</v>
      </c>
      <c r="Q48" s="16">
        <v>1768.53</v>
      </c>
      <c r="R48">
        <f t="shared" si="13"/>
        <v>1.7685299999999999</v>
      </c>
      <c r="S48" s="15">
        <f t="shared" si="14"/>
        <v>0.41277218933238341</v>
      </c>
      <c r="T48" s="13" t="s">
        <v>19</v>
      </c>
      <c r="U48" t="s">
        <v>31</v>
      </c>
      <c r="V48" s="16">
        <v>0.89</v>
      </c>
      <c r="W48" s="16">
        <v>1965.03</v>
      </c>
      <c r="X48">
        <f t="shared" si="15"/>
        <v>1.9650300000000001</v>
      </c>
      <c r="Y48" s="15">
        <f t="shared" si="10"/>
        <v>0.45291929385302004</v>
      </c>
      <c r="Z48" s="13" t="s">
        <v>21</v>
      </c>
      <c r="AA48" t="s">
        <v>31</v>
      </c>
      <c r="AB48" s="16">
        <v>0.13</v>
      </c>
      <c r="AC48" s="16">
        <v>786.01</v>
      </c>
      <c r="AD48">
        <f t="shared" si="18"/>
        <v>0.78600999999999999</v>
      </c>
      <c r="AE48" s="15">
        <f t="shared" si="19"/>
        <v>0.16539229780791595</v>
      </c>
    </row>
    <row r="49" spans="2:31" x14ac:dyDescent="0.25">
      <c r="B49" s="19" t="s">
        <v>12</v>
      </c>
      <c r="C49" s="20" t="s">
        <v>31</v>
      </c>
      <c r="D49" s="23">
        <v>0.92</v>
      </c>
      <c r="E49" s="23">
        <v>1951.03</v>
      </c>
      <c r="F49" s="20">
        <f t="shared" si="16"/>
        <v>1.95103</v>
      </c>
      <c r="G49" s="22">
        <f t="shared" si="17"/>
        <v>0.47154579888571679</v>
      </c>
      <c r="H49" s="19" t="s">
        <v>15</v>
      </c>
      <c r="I49" s="20" t="s">
        <v>31</v>
      </c>
      <c r="J49" s="23" t="s">
        <v>26</v>
      </c>
      <c r="K49" s="23" t="s">
        <v>26</v>
      </c>
      <c r="L49" s="23" t="s">
        <v>26</v>
      </c>
      <c r="M49" s="24" t="s">
        <v>26</v>
      </c>
      <c r="N49" s="19" t="s">
        <v>17</v>
      </c>
      <c r="O49" s="20" t="s">
        <v>31</v>
      </c>
      <c r="P49" s="21">
        <v>0.88</v>
      </c>
      <c r="Q49" s="21">
        <v>1768.53</v>
      </c>
      <c r="R49" s="20">
        <f t="shared" si="13"/>
        <v>1.7685299999999999</v>
      </c>
      <c r="S49" s="22">
        <f t="shared" si="14"/>
        <v>0.49758839261985943</v>
      </c>
      <c r="T49" s="19" t="s">
        <v>19</v>
      </c>
      <c r="U49" s="20" t="s">
        <v>31</v>
      </c>
      <c r="V49" s="21">
        <v>0.45</v>
      </c>
      <c r="W49" s="21">
        <v>982.52</v>
      </c>
      <c r="X49" s="20">
        <f t="shared" si="15"/>
        <v>0.98251999999999995</v>
      </c>
      <c r="Y49" s="22">
        <f t="shared" si="10"/>
        <v>0.45800594389936089</v>
      </c>
      <c r="Z49" s="19" t="s">
        <v>21</v>
      </c>
      <c r="AA49" s="20" t="s">
        <v>31</v>
      </c>
      <c r="AB49" s="23">
        <v>0.06</v>
      </c>
      <c r="AC49" s="23">
        <v>196.5</v>
      </c>
      <c r="AD49" s="20">
        <f t="shared" si="18"/>
        <v>0.19650000000000001</v>
      </c>
      <c r="AE49" s="22">
        <f t="shared" si="19"/>
        <v>0.30534351145038163</v>
      </c>
    </row>
    <row r="55" spans="2:31" x14ac:dyDescent="0.25">
      <c r="D55" s="8"/>
      <c r="E5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FCF961192E44482F9F1627C671432" ma:contentTypeVersion="13" ma:contentTypeDescription="Create a new document." ma:contentTypeScope="" ma:versionID="4edac0dc3e63d389bb2fdb4614aaa867">
  <xsd:schema xmlns:xsd="http://www.w3.org/2001/XMLSchema" xmlns:xs="http://www.w3.org/2001/XMLSchema" xmlns:p="http://schemas.microsoft.com/office/2006/metadata/properties" xmlns:ns2="4fa5d59e-48ab-4208-abd1-2bc220dd9472" xmlns:ns3="19998d9c-57f5-4b72-819b-df3dabb2a5b3" targetNamespace="http://schemas.microsoft.com/office/2006/metadata/properties" ma:root="true" ma:fieldsID="8425dbed18d02da73638f13e7542e5e5" ns2:_="" ns3:_="">
    <xsd:import namespace="4fa5d59e-48ab-4208-abd1-2bc220dd9472"/>
    <xsd:import namespace="19998d9c-57f5-4b72-819b-df3dabb2a5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5d59e-48ab-4208-abd1-2bc220dd9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reviewed?" ma:format="Dropdown" ma:internalName="Comments">
      <xsd:simpleType>
        <xsd:restriction base="dms:Choice">
          <xsd:enumeration value="yes"/>
          <xsd:enumeration value="no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ff0a844-5d80-49b0-a46a-0a8d4957c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98d9c-57f5-4b72-819b-df3dabb2a5b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c6f1cd0-dad5-43c8-9e09-f9b0f4367413}" ma:internalName="TaxCatchAll" ma:showField="CatchAllData" ma:web="19998d9c-57f5-4b72-819b-df3dabb2a5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4fa5d59e-48ab-4208-abd1-2bc220dd9472" xsi:nil="true"/>
    <TaxCatchAll xmlns="19998d9c-57f5-4b72-819b-df3dabb2a5b3" xsi:nil="true"/>
    <lcf76f155ced4ddcb4097134ff3c332f xmlns="4fa5d59e-48ab-4208-abd1-2bc220dd94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8FB230-8841-43EE-B074-700C7FB1F2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a5d59e-48ab-4208-abd1-2bc220dd9472"/>
    <ds:schemaRef ds:uri="19998d9c-57f5-4b72-819b-df3dabb2a5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252C94-6939-4A42-9622-6F5AA35D3B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AC22C1-268E-4FEB-84EE-26525DA12121}">
  <ds:schemaRefs>
    <ds:schemaRef ds:uri="http://schemas.microsoft.com/office/2006/metadata/properties"/>
    <ds:schemaRef ds:uri="http://schemas.microsoft.com/office/infopath/2007/PartnerControls"/>
    <ds:schemaRef ds:uri="4fa5d59e-48ab-4208-abd1-2bc220dd9472"/>
    <ds:schemaRef ds:uri="19998d9c-57f5-4b72-819b-df3dabb2a5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mice</vt:lpstr>
      <vt:lpstr>rats</vt:lpstr>
      <vt:lpstr>mice ratios</vt:lpstr>
      <vt:lpstr>rat ratios </vt:lpstr>
    </vt:vector>
  </TitlesOfParts>
  <Manager/>
  <Company>Wake Forest Baptist Medical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Marie West</dc:creator>
  <cp:keywords/>
  <dc:description/>
  <cp:lastModifiedBy>Alyssa Marie West</cp:lastModifiedBy>
  <cp:revision/>
  <dcterms:created xsi:type="dcterms:W3CDTF">2023-05-18T17:54:05Z</dcterms:created>
  <dcterms:modified xsi:type="dcterms:W3CDTF">2024-02-02T22:05:13Z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0x010100C75FCF961192E44482F9F1627C671432</vt:lpwstr>
  </property>
  <property fmtid="{D5CDD505-2E9C-101B-9397-08002B2CF9AE}" pid="3" name="MediaServiceImageTags">
    <vt:lpwstr/>
  </property>
</Properties>
</file>